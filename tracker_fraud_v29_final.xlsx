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034" tabRatio="500" firstSheet="2" activeTab="3" autoFilterDateGrouping="1"/>
  </bookViews>
  <sheets>
    <sheet xmlns:r="http://schemas.openxmlformats.org/officeDocument/2006/relationships" name="LEADER_BOARD" sheetId="1" state="visible" r:id="rId1"/>
    <sheet xmlns:r="http://schemas.openxmlformats.org/officeDocument/2006/relationships" name="TASK_BOARD" sheetId="2" state="visible" r:id="rId2"/>
    <sheet xmlns:r="http://schemas.openxmlformats.org/officeDocument/2006/relationships" name="ROADMAP_8W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EAM" sheetId="5" state="visible" r:id="rId5"/>
    <sheet xmlns:r="http://schemas.openxmlformats.org/officeDocument/2006/relationships" name="MEETING_LOG" sheetId="6" state="visible" r:id="rId6"/>
    <sheet xmlns:r="http://schemas.openxmlformats.org/officeDocument/2006/relationships" name="ISSUE_FEEDBACK_LOG" sheetId="7" state="visible" r:id="rId7"/>
    <sheet xmlns:r="http://schemas.openxmlformats.org/officeDocument/2006/relationships" name="CONFIG" sheetId="8" state="visible" r:id="rId8"/>
  </sheets>
  <definedNames>
    <definedName name="_xlnm.Print_Area" localSheetId="2">'ROADMAP_8W'!$A$1:$P$21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dd\-mmm"/>
    <numFmt numFmtId="166" formatCode="dd/mm"/>
    <numFmt numFmtId="167" formatCode=";;;"/>
    <numFmt numFmtId="168" formatCode="dd\-mmm\-yyyy"/>
  </numFmts>
  <fonts count="42">
    <font>
      <name val="Arial"/>
      <charset val="1"/>
      <family val="2"/>
      <sz val="10"/>
    </font>
    <font>
      <name val="Cambria"/>
      <charset val="1"/>
      <b val="1"/>
      <color rgb="FFFFFFFF"/>
      <sz val="18"/>
    </font>
    <font>
      <name val="Cambria"/>
      <charset val="1"/>
      <i val="1"/>
      <color rgb="FF6B7280"/>
      <sz val="10"/>
    </font>
    <font>
      <name val="Cambria"/>
      <charset val="1"/>
      <b val="1"/>
      <color rgb="FF2F80ED"/>
      <sz val="11"/>
    </font>
    <font>
      <name val="Cambria"/>
      <charset val="1"/>
      <b val="1"/>
      <color rgb="FF2E8B57"/>
      <sz val="11"/>
    </font>
    <font>
      <name val="Cambria"/>
      <charset val="1"/>
      <b val="1"/>
      <color rgb="FF1798A5"/>
      <sz val="11"/>
    </font>
    <font>
      <name val="Cambria"/>
      <charset val="1"/>
      <b val="1"/>
      <color rgb="FFD9534F"/>
      <sz val="11"/>
    </font>
    <font>
      <name val="Cambria"/>
      <charset val="1"/>
      <b val="1"/>
      <color rgb="FFF0AD4E"/>
      <sz val="11"/>
    </font>
    <font>
      <name val="Cambria"/>
      <charset val="1"/>
      <b val="1"/>
      <color rgb="FF17375E"/>
      <sz val="11"/>
    </font>
    <font>
      <name val="Cambria"/>
      <charset val="1"/>
      <b val="1"/>
      <color rgb="FF1F2937"/>
      <sz val="24"/>
    </font>
    <font>
      <name val="Cambria"/>
      <charset val="1"/>
      <i val="1"/>
      <color rgb="FF6B7280"/>
      <sz val="9"/>
    </font>
    <font>
      <name val="Cambria"/>
      <charset val="1"/>
      <b val="1"/>
      <color rgb="FFFFFFFF"/>
      <sz val="12"/>
    </font>
    <font>
      <name val="Cambria"/>
      <charset val="1"/>
      <b val="1"/>
      <color rgb="FF1F2937"/>
      <sz val="10"/>
    </font>
    <font>
      <name val="Arial"/>
      <family val="2"/>
      <sz val="10"/>
    </font>
    <font>
      <name val="Aptos"/>
      <charset val="1"/>
      <b val="1"/>
      <color rgb="FFFFFFFF"/>
      <sz val="16"/>
    </font>
    <font>
      <name val="Aptos"/>
      <charset val="1"/>
      <i val="1"/>
      <color rgb="FF475467"/>
      <sz val="10"/>
    </font>
    <font>
      <name val="Cambria"/>
      <charset val="1"/>
      <i val="1"/>
      <color rgb="FF5F5E5A"/>
      <sz val="9"/>
    </font>
    <font>
      <name val="Aptos"/>
      <charset val="1"/>
      <b val="1"/>
      <color rgb="FF1F2937"/>
      <sz val="10"/>
    </font>
    <font>
      <name val="Aptos"/>
      <charset val="1"/>
      <color rgb="FF4B5563"/>
      <sz val="9"/>
    </font>
    <font>
      <name val="Cambria"/>
      <charset val="1"/>
      <b val="1"/>
      <color rgb="FFFFFFFF"/>
      <sz val="10"/>
    </font>
    <font>
      <name val="Aptos"/>
      <charset val="1"/>
      <color rgb="FF1F2937"/>
      <sz val="10"/>
    </font>
    <font>
      <name val="Calibri"/>
      <charset val="1"/>
      <b val="1"/>
      <color rgb="FFFFFFFF"/>
      <sz val="19"/>
    </font>
    <font>
      <name val="Calibri"/>
      <charset val="1"/>
      <color rgb="FF1F2937"/>
      <sz val="11"/>
    </font>
    <font>
      <name val="Calibri"/>
      <charset val="1"/>
      <i val="1"/>
      <color rgb="FF6B7280"/>
      <sz val="10"/>
    </font>
    <font>
      <name val="Calibri"/>
      <charset val="1"/>
      <color rgb="FF1F2937"/>
      <sz val="10.5"/>
    </font>
    <font>
      <name val="Calibri"/>
      <charset val="1"/>
      <b val="1"/>
      <color rgb="FFFFFFFF"/>
      <sz val="12"/>
    </font>
    <font>
      <name val="Calibri"/>
      <charset val="1"/>
      <color rgb="FF1F2937"/>
      <sz val="10"/>
    </font>
    <font>
      <name val="Calibri"/>
      <charset val="1"/>
      <b val="1"/>
      <color rgb="FF1F2937"/>
      <sz val="10.5"/>
    </font>
    <font>
      <name val="Calibri"/>
      <charset val="1"/>
      <color rgb="FF1F2937"/>
      <sz val="9.5"/>
    </font>
    <font>
      <name val="Calibri"/>
      <charset val="1"/>
      <b val="1"/>
      <color rgb="FFFFFFFF"/>
      <sz val="11"/>
    </font>
    <font>
      <name val="Calibri"/>
      <charset val="1"/>
      <color rgb="FF6B7280"/>
      <sz val="10"/>
    </font>
    <font>
      <name val="Aptos"/>
      <charset val="1"/>
      <b val="1"/>
      <color rgb="FFFFFFFF"/>
      <sz val="10"/>
    </font>
    <font>
      <name val="Aptos"/>
      <charset val="1"/>
      <color rgb="FFB3261E"/>
      <sz val="10"/>
    </font>
    <font>
      <name val="Cambria"/>
      <charset val="1"/>
      <i val="1"/>
      <color rgb="FF1F2937"/>
      <sz val="10"/>
    </font>
    <font>
      <name val="Cambria"/>
      <charset val="1"/>
      <b val="1"/>
      <color rgb="FFFFFFFF"/>
      <sz val="11"/>
    </font>
    <font>
      <name val="Cambria"/>
      <charset val="1"/>
      <b val="1"/>
      <sz val="11"/>
    </font>
    <font>
      <name val="Cambria"/>
      <charset val="1"/>
      <color rgb="FF2F80ED"/>
      <sz val="9"/>
    </font>
    <font>
      <name val="Cambria"/>
      <charset val="1"/>
      <color rgb="FF1F2937"/>
      <sz val="11"/>
    </font>
    <font>
      <name val="Cambria"/>
      <charset val="1"/>
      <b val="1"/>
      <color rgb="FF1F2937"/>
      <sz val="11"/>
    </font>
    <font>
      <name val="Cambria"/>
      <charset val="1"/>
      <color rgb="FF1F2937"/>
      <sz val="10"/>
    </font>
    <font>
      <name val="Aptos"/>
    </font>
    <font>
      <name val="Aptos"/>
      <color rgb="FF1F2937"/>
    </font>
  </fonts>
  <fills count="38">
    <fill>
      <patternFill/>
    </fill>
    <fill>
      <patternFill patternType="gray125"/>
    </fill>
    <fill>
      <patternFill patternType="solid">
        <fgColor rgb="FF17375E"/>
        <bgColor rgb="FF1A3A63"/>
      </patternFill>
    </fill>
    <fill>
      <patternFill patternType="solid">
        <fgColor rgb="FFEEF3F8"/>
        <bgColor rgb="FFEFF3F8"/>
      </patternFill>
    </fill>
    <fill>
      <patternFill patternType="solid">
        <fgColor rgb="FFFFFFFF"/>
        <bgColor rgb="FFFBFEFE"/>
      </patternFill>
    </fill>
    <fill>
      <patternFill patternType="solid">
        <fgColor rgb="FFEFF3F8"/>
        <bgColor rgb="FFEEF3F8"/>
      </patternFill>
    </fill>
    <fill>
      <patternFill patternType="solid">
        <fgColor rgb="FFF3F4F6"/>
        <bgColor rgb="FFEFF3F8"/>
      </patternFill>
    </fill>
    <fill>
      <patternFill patternType="solid">
        <fgColor rgb="FFFFF7DB"/>
        <bgColor rgb="FFFFF8DB"/>
      </patternFill>
    </fill>
    <fill>
      <patternFill patternType="solid">
        <fgColor rgb="FFE9F1FF"/>
        <bgColor rgb="FFEAF2FF"/>
      </patternFill>
    </fill>
    <fill>
      <patternFill patternType="solid">
        <fgColor rgb="FFEAF7EE"/>
        <bgColor rgb="FFEAF8F0"/>
      </patternFill>
    </fill>
    <fill>
      <patternFill patternType="solid">
        <fgColor rgb="FFFDECEC"/>
        <bgColor rgb="FFFCEBEB"/>
      </patternFill>
    </fill>
    <fill>
      <patternFill patternType="darkGray">
        <fgColor rgb="FFFDEAEA"/>
        <bgColor rgb="FFFCEBEB"/>
      </patternFill>
    </fill>
    <fill>
      <patternFill patternType="solid">
        <fgColor rgb="FFFBFEFE"/>
        <bgColor rgb="FFFFFFFF"/>
      </patternFill>
    </fill>
    <fill>
      <patternFill patternType="darkGray">
        <fgColor rgb="FF18A27F"/>
        <bgColor rgb="FF138B7B"/>
      </patternFill>
    </fill>
    <fill>
      <patternFill patternType="solid">
        <fgColor rgb="FFF4AA1D"/>
        <bgColor rgb="FFACAEAD"/>
      </patternFill>
    </fill>
    <fill>
      <patternFill patternType="solid">
        <fgColor rgb="FFEAF8F0"/>
        <bgColor rgb="FFEAF7EE"/>
      </patternFill>
    </fill>
    <fill>
      <patternFill patternType="solid">
        <fgColor rgb="FFFFF1E6"/>
        <bgColor rgb="FFFFF0F0"/>
      </patternFill>
    </fill>
    <fill>
      <patternFill patternType="solid">
        <fgColor rgb="FF0F2747"/>
        <bgColor rgb="FF1F2937"/>
      </patternFill>
    </fill>
    <fill>
      <patternFill patternType="solid">
        <fgColor rgb="FFF3F4F6"/>
        <bgColor rgb="FFEFF3F8"/>
      </patternFill>
    </fill>
    <fill>
      <patternFill patternType="solid">
        <fgColor rgb="FF1A3A63"/>
        <bgColor rgb="FF17375E"/>
      </patternFill>
    </fill>
    <fill>
      <patternFill patternType="solid">
        <fgColor rgb="FFEEF4FC"/>
        <bgColor rgb="FFEEF5FF"/>
      </patternFill>
    </fill>
    <fill>
      <patternFill patternType="solid">
        <fgColor rgb="FF0F8B8D"/>
        <bgColor rgb="FF138B7B"/>
      </patternFill>
    </fill>
    <fill>
      <patternFill patternType="darkGray">
        <fgColor rgb="FF2F80EF"/>
        <bgColor rgb="FF2F80ED"/>
      </patternFill>
    </fill>
    <fill>
      <patternFill patternType="solid">
        <fgColor rgb="FFEAF2FF"/>
        <bgColor rgb="FFE9F1FF"/>
      </patternFill>
    </fill>
    <fill>
      <patternFill patternType="solid">
        <fgColor rgb="FFFFF8DB"/>
        <bgColor rgb="FFFFF7DB"/>
      </patternFill>
    </fill>
    <fill>
      <patternFill patternType="darkGray">
        <fgColor rgb="FFD9E3F7"/>
        <bgColor rgb="FFDCEBFF"/>
      </patternFill>
    </fill>
    <fill>
      <patternFill patternType="darkGray">
        <fgColor rgb="FFF7F8FA"/>
        <bgColor rgb="FFF3F4F6"/>
      </patternFill>
    </fill>
    <fill>
      <patternFill patternType="darkGray">
        <fgColor rgb="FF79737D"/>
        <bgColor rgb="FF505861"/>
      </patternFill>
    </fill>
    <fill>
      <patternFill patternType="darkGray">
        <fgColor rgb="FF1A3A63"/>
        <bgColor rgb="FF17375E"/>
      </patternFill>
    </fill>
    <fill>
      <patternFill patternType="solid">
        <fgColor rgb="FFDCEBFF"/>
        <bgColor rgb="FFDFF1FF"/>
      </patternFill>
    </fill>
    <fill>
      <patternFill patternType="solid">
        <fgColor rgb="FFEFF6FF"/>
        <bgColor rgb="FFEEF5FF"/>
      </patternFill>
    </fill>
    <fill>
      <patternFill patternType="mediumGray">
        <fgColor rgb="FF0F8B8D"/>
        <bgColor rgb="FF138B7B"/>
      </patternFill>
    </fill>
    <fill>
      <patternFill patternType="solid">
        <fgColor rgb="FFDFF1FF"/>
        <bgColor rgb="FFE6F1FB"/>
      </patternFill>
    </fill>
    <fill>
      <patternFill patternType="darkGray">
        <fgColor rgb="FFFDEAEA"/>
        <bgColor rgb="FFFAECE7"/>
      </patternFill>
    </fill>
    <fill>
      <patternFill patternType="solid">
        <fgColor rgb="FFFEE2E2"/>
        <bgColor rgb="FFFDEAEA"/>
      </patternFill>
    </fill>
    <fill>
      <patternFill patternType="solid">
        <fgColor rgb="FFFFF4D6"/>
        <bgColor rgb="FFFFF7DB"/>
      </patternFill>
    </fill>
    <fill>
      <patternFill patternType="solid">
        <fgColor rgb="FFEEF5FF"/>
        <bgColor rgb="FFEFF6FF"/>
      </patternFill>
    </fill>
    <fill>
      <patternFill patternType="solid">
        <fgColor theme="0"/>
        <bgColor rgb="FFEFF3F8"/>
      </patternFill>
    </fill>
  </fills>
  <borders count="8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medium">
        <color rgb="FF2F80EF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138B7B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18A27F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E85453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F4AA1D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17375E"/>
      </top>
      <bottom style="thin">
        <color rgb="FFD0D7DE"/>
      </bottom>
      <diagonal/>
    </border>
    <border>
      <left style="thin">
        <color rgb="FF2F80EF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138B7B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18A27F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E85453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F4AA1D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17375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/>
      <right/>
      <top style="medium">
        <color rgb="FF1A3A63"/>
      </top>
      <bottom style="medium">
        <color rgb="FF1A3A63"/>
      </bottom>
      <diagonal/>
    </border>
    <border>
      <left style="thin">
        <color rgb="FFD1D5DB"/>
      </left>
      <right style="thin">
        <color rgb="FFD1D5DB"/>
      </right>
      <top style="medium">
        <color rgb="FFACAEAD"/>
      </top>
      <bottom style="medium">
        <color rgb="FFACAEAD"/>
      </bottom>
      <diagonal/>
    </border>
    <border>
      <left style="thin">
        <color rgb="FFD9E3F7"/>
      </left>
      <right style="thin">
        <color rgb="FFD9E3F7"/>
      </right>
      <top style="thin">
        <color rgb="FFD9E3F7"/>
      </top>
      <bottom style="thin">
        <color rgb="FFD9E3F7"/>
      </bottom>
      <diagonal/>
    </border>
    <border>
      <left style="thin">
        <color rgb="FFD9E3F7"/>
      </left>
      <right style="thin">
        <color rgb="FFD9E3F7"/>
      </right>
      <top style="thin">
        <color rgb="FFD9E3F7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0D7DE"/>
      </top>
      <bottom/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17375E"/>
      </left>
      <right/>
      <top/>
      <bottom/>
      <diagonal/>
    </border>
    <border>
      <left style="thin">
        <color rgb="FF17375E"/>
      </left>
      <right/>
      <top/>
      <bottom style="thin">
        <color rgb="FFD0D7DE"/>
      </bottom>
      <diagonal/>
    </border>
    <border>
      <left style="thin">
        <color rgb="FFF4AA1D"/>
      </left>
      <right/>
      <top/>
      <bottom/>
      <diagonal/>
    </border>
    <border>
      <left style="thin">
        <color rgb="FFF4AA1D"/>
      </left>
      <right/>
      <top/>
      <bottom style="thin">
        <color rgb="FFD0D7DE"/>
      </bottom>
      <diagonal/>
    </border>
    <border>
      <left style="thin">
        <color rgb="FF2F80EF"/>
      </left>
      <right/>
      <top/>
      <bottom/>
      <diagonal/>
    </border>
    <border>
      <left style="thin">
        <color rgb="FF2F80EF"/>
      </left>
      <right/>
      <top/>
      <bottom style="thin">
        <color rgb="FFD0D7DE"/>
      </bottom>
      <diagonal/>
    </border>
    <border>
      <left style="thin">
        <color rgb="FF138B7B"/>
      </left>
      <right/>
      <top/>
      <bottom/>
      <diagonal/>
    </border>
    <border>
      <left style="thin">
        <color rgb="FF138B7B"/>
      </left>
      <right/>
      <top/>
      <bottom style="thin">
        <color rgb="FFD0D7DE"/>
      </bottom>
      <diagonal/>
    </border>
    <border>
      <left style="thin">
        <color rgb="FF18A27F"/>
      </left>
      <right/>
      <top/>
      <bottom/>
      <diagonal/>
    </border>
    <border>
      <left style="thin">
        <color rgb="FF18A27F"/>
      </left>
      <right/>
      <top/>
      <bottom style="thin">
        <color rgb="FFD0D7DE"/>
      </bottom>
      <diagonal/>
    </border>
    <border>
      <left style="thin">
        <color rgb="FFE85453"/>
      </left>
      <right/>
      <top/>
      <bottom/>
      <diagonal/>
    </border>
    <border>
      <left style="thin">
        <color rgb="FFE85453"/>
      </left>
      <right/>
      <top/>
      <bottom style="thin">
        <color rgb="FFD0D7DE"/>
      </bottom>
      <diagonal/>
    </border>
    <border>
      <left/>
      <right/>
      <top style="medium">
        <color rgb="FF2F80EF"/>
      </top>
      <bottom/>
      <diagonal/>
    </border>
    <border>
      <left/>
      <right style="thin">
        <color rgb="FFD0D7DE"/>
      </right>
      <top style="medium">
        <color rgb="FF2F80EF"/>
      </top>
      <bottom/>
      <diagonal/>
    </border>
    <border>
      <left/>
      <right style="thin">
        <color rgb="FFD0D7DE"/>
      </right>
      <top style="medium">
        <color rgb="FF2F80EF"/>
      </top>
      <bottom style="thin">
        <color rgb="FFD0D7DE"/>
      </bottom>
      <diagonal/>
    </border>
    <border>
      <left/>
      <right/>
      <top style="medium">
        <color rgb="FF138B7B"/>
      </top>
      <bottom/>
      <diagonal/>
    </border>
    <border>
      <left/>
      <right style="thin">
        <color rgb="FFD0D7DE"/>
      </right>
      <top style="medium">
        <color rgb="FF138B7B"/>
      </top>
      <bottom/>
      <diagonal/>
    </border>
    <border>
      <left/>
      <right style="thin">
        <color rgb="FFD0D7DE"/>
      </right>
      <top style="medium">
        <color rgb="FF138B7B"/>
      </top>
      <bottom style="thin">
        <color rgb="FFD0D7DE"/>
      </bottom>
      <diagonal/>
    </border>
    <border>
      <left/>
      <right/>
      <top style="medium">
        <color rgb="FF18A27F"/>
      </top>
      <bottom/>
      <diagonal/>
    </border>
    <border>
      <left/>
      <right style="thin">
        <color rgb="FFD0D7DE"/>
      </right>
      <top style="medium">
        <color rgb="FF18A27F"/>
      </top>
      <bottom/>
      <diagonal/>
    </border>
    <border>
      <left/>
      <right style="thin">
        <color rgb="FFD0D7DE"/>
      </right>
      <top style="medium">
        <color rgb="FF18A27F"/>
      </top>
      <bottom style="thin">
        <color rgb="FFD0D7DE"/>
      </bottom>
      <diagonal/>
    </border>
    <border>
      <left/>
      <right/>
      <top style="medium">
        <color rgb="FFE85453"/>
      </top>
      <bottom/>
      <diagonal/>
    </border>
    <border>
      <left/>
      <right style="thin">
        <color rgb="FFD0D7DE"/>
      </right>
      <top style="medium">
        <color rgb="FFE85453"/>
      </top>
      <bottom/>
      <diagonal/>
    </border>
    <border>
      <left/>
      <right style="thin">
        <color rgb="FFD0D7DE"/>
      </right>
      <top style="medium">
        <color rgb="FFE85453"/>
      </top>
      <bottom style="thin">
        <color rgb="FFD0D7DE"/>
      </bottom>
      <diagonal/>
    </border>
    <border>
      <left/>
      <right/>
      <top style="medium">
        <color rgb="FFF4AA1D"/>
      </top>
      <bottom/>
      <diagonal/>
    </border>
    <border>
      <left/>
      <right style="thin">
        <color rgb="FFD0D7DE"/>
      </right>
      <top style="medium">
        <color rgb="FFF4AA1D"/>
      </top>
      <bottom/>
      <diagonal/>
    </border>
    <border>
      <left/>
      <right style="thin">
        <color rgb="FFD0D7DE"/>
      </right>
      <top style="medium">
        <color rgb="FFF4AA1D"/>
      </top>
      <bottom style="thin">
        <color rgb="FFD0D7DE"/>
      </bottom>
      <diagonal/>
    </border>
    <border>
      <left/>
      <right/>
      <top style="medium">
        <color rgb="FF17375E"/>
      </top>
      <bottom/>
      <diagonal/>
    </border>
    <border>
      <left/>
      <right style="thin">
        <color rgb="FFD0D7DE"/>
      </right>
      <top style="medium">
        <color rgb="FF17375E"/>
      </top>
      <bottom/>
      <diagonal/>
    </border>
    <border>
      <left/>
      <right style="thin">
        <color rgb="FFD0D7DE"/>
      </right>
      <top style="medium">
        <color rgb="FF17375E"/>
      </top>
      <bottom style="thin">
        <color rgb="FFD0D7DE"/>
      </bottom>
      <diagonal/>
    </border>
    <border>
      <left/>
      <right/>
      <top style="thin">
        <color rgb="FFD9E3F7"/>
      </top>
      <bottom/>
      <diagonal/>
    </border>
    <border>
      <left style="thin">
        <color rgb="FFD9E3F7"/>
      </left>
      <right/>
      <top/>
      <bottom/>
      <diagonal/>
    </border>
    <border>
      <left/>
      <right style="thin">
        <color rgb="FFD9E3F7"/>
      </right>
      <top style="thin">
        <color rgb="FFD9E3F7"/>
      </top>
      <bottom/>
      <diagonal/>
    </border>
    <border>
      <left/>
      <right style="thin">
        <color rgb="FFD9E3F7"/>
      </right>
      <top/>
      <bottom/>
      <diagonal/>
    </border>
    <border>
      <left style="thin">
        <color rgb="FFD9E3F7"/>
      </left>
      <right/>
      <top/>
      <bottom style="thin">
        <color rgb="FFD9E3F7"/>
      </bottom>
      <diagonal/>
    </border>
    <border>
      <left/>
      <right/>
      <top/>
      <bottom style="thin">
        <color rgb="FFD9E3F7"/>
      </bottom>
      <diagonal/>
    </border>
    <border>
      <left/>
      <right style="thin">
        <color rgb="FFD9E3F7"/>
      </right>
      <top/>
      <bottom style="thin">
        <color rgb="FFD9E3F7"/>
      </bottom>
      <diagonal/>
    </border>
    <border>
      <left/>
      <right/>
      <top style="medium">
        <color rgb="FFACAEAD"/>
      </top>
      <bottom/>
      <diagonal/>
    </border>
    <border>
      <left/>
      <right style="thin">
        <color rgb="FFD1D5DB"/>
      </right>
      <top style="medium">
        <color rgb="FFACAEAD"/>
      </top>
      <bottom/>
      <diagonal/>
    </border>
    <border>
      <left/>
      <right/>
      <top style="medium">
        <color rgb="FFACAEAD"/>
      </top>
      <bottom style="medium">
        <color rgb="FFACAEAD"/>
      </bottom>
      <diagonal/>
    </border>
    <border>
      <left/>
      <right style="thin">
        <color rgb="FFD1D5DB"/>
      </right>
      <top style="medium">
        <color rgb="FFACAEAD"/>
      </top>
      <bottom style="medium">
        <color rgb="FFACAEAD"/>
      </bottom>
      <diagonal/>
    </border>
    <border>
      <left style="thin">
        <color rgb="FFD9E3F7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9E3F7"/>
      </right>
      <top/>
      <bottom style="thin">
        <color rgb="FFD1D5DB"/>
      </bottom>
      <diagonal/>
    </border>
    <border>
      <left/>
      <right/>
      <top style="medium">
        <color rgb="FF1A3A63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9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9" fontId="9" fillId="0" borderId="8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7" fillId="4" borderId="5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9" fontId="0" fillId="0" borderId="0" pivotButton="0" quotePrefix="0" xfId="0"/>
    <xf numFmtId="0" fontId="12" fillId="5" borderId="13" applyAlignment="1" pivotButton="0" quotePrefix="0" xfId="0">
      <alignment horizontal="center" vertical="center"/>
    </xf>
    <xf numFmtId="0" fontId="0" fillId="0" borderId="13" pivotButton="0" quotePrefix="0" xfId="0"/>
    <xf numFmtId="0" fontId="0" fillId="6" borderId="13" applyAlignment="1" pivotButton="0" quotePrefix="0" xfId="0">
      <alignment horizontal="left" vertical="center"/>
    </xf>
    <xf numFmtId="0" fontId="0" fillId="6" borderId="13" applyAlignment="1" pivotButton="0" quotePrefix="0" xfId="0">
      <alignment horizontal="center"/>
    </xf>
    <xf numFmtId="164" fontId="0" fillId="6" borderId="13" applyAlignment="1" pivotButton="0" quotePrefix="0" xfId="0">
      <alignment horizontal="center"/>
    </xf>
    <xf numFmtId="0" fontId="0" fillId="7" borderId="13" applyAlignment="1" pivotButton="0" quotePrefix="0" xfId="0">
      <alignment horizontal="left" vertical="center"/>
    </xf>
    <xf numFmtId="0" fontId="0" fillId="7" borderId="13" applyAlignment="1" pivotButton="0" quotePrefix="0" xfId="0">
      <alignment horizontal="center"/>
    </xf>
    <xf numFmtId="164" fontId="0" fillId="7" borderId="13" applyAlignment="1" pivotButton="0" quotePrefix="0" xfId="0">
      <alignment horizontal="center"/>
    </xf>
    <xf numFmtId="0" fontId="0" fillId="8" borderId="13" applyAlignment="1" pivotButton="0" quotePrefix="0" xfId="0">
      <alignment horizontal="left" vertical="center"/>
    </xf>
    <xf numFmtId="0" fontId="0" fillId="8" borderId="13" applyAlignment="1" pivotButton="0" quotePrefix="0" xfId="0">
      <alignment horizontal="center"/>
    </xf>
    <xf numFmtId="164" fontId="0" fillId="8" borderId="13" applyAlignment="1" pivotButton="0" quotePrefix="0" xfId="0">
      <alignment horizontal="center"/>
    </xf>
    <xf numFmtId="0" fontId="0" fillId="9" borderId="13" applyAlignment="1" pivotButton="0" quotePrefix="0" xfId="0">
      <alignment horizontal="left" vertical="center"/>
    </xf>
    <xf numFmtId="0" fontId="0" fillId="9" borderId="13" applyAlignment="1" pivotButton="0" quotePrefix="0" xfId="0">
      <alignment horizontal="center"/>
    </xf>
    <xf numFmtId="164" fontId="0" fillId="9" borderId="13" applyAlignment="1" pivotButton="0" quotePrefix="0" xfId="0">
      <alignment horizontal="center"/>
    </xf>
    <xf numFmtId="0" fontId="0" fillId="10" borderId="13" applyAlignment="1" pivotButton="0" quotePrefix="0" xfId="0">
      <alignment horizontal="left" vertical="center"/>
    </xf>
    <xf numFmtId="0" fontId="0" fillId="10" borderId="13" applyAlignment="1" pivotButton="0" quotePrefix="0" xfId="0">
      <alignment horizontal="center"/>
    </xf>
    <xf numFmtId="164" fontId="0" fillId="10" borderId="13" applyAlignment="1" pivotButton="0" quotePrefix="0" xfId="0">
      <alignment horizontal="center"/>
    </xf>
    <xf numFmtId="0" fontId="0" fillId="11" borderId="13" applyAlignment="1" pivotButton="0" quotePrefix="0" xfId="0">
      <alignment horizontal="left" vertical="center"/>
    </xf>
    <xf numFmtId="0" fontId="0" fillId="11" borderId="13" applyAlignment="1" pivotButton="0" quotePrefix="0" xfId="0">
      <alignment horizontal="center"/>
    </xf>
    <xf numFmtId="164" fontId="0" fillId="11" borderId="13" applyAlignment="1" pivotButton="0" quotePrefix="0" xfId="0">
      <alignment horizontal="center"/>
    </xf>
    <xf numFmtId="0" fontId="12" fillId="15" borderId="13" applyAlignment="1" pivotButton="0" quotePrefix="0" xfId="0">
      <alignment horizontal="center" vertical="center"/>
    </xf>
    <xf numFmtId="0" fontId="12" fillId="16" borderId="13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0" fillId="4" borderId="13" applyAlignment="1" pivotButton="0" quotePrefix="0" xfId="0">
      <alignment horizontal="left" vertical="center" wrapText="1"/>
    </xf>
    <xf numFmtId="165" fontId="0" fillId="4" borderId="13" applyAlignment="1" pivotButton="0" quotePrefix="0" xfId="0">
      <alignment horizontal="center" vertical="center"/>
    </xf>
    <xf numFmtId="9" fontId="0" fillId="4" borderId="13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/>
    </xf>
    <xf numFmtId="0" fontId="17" fillId="8" borderId="0" pivotButton="0" quotePrefix="0" xfId="0"/>
    <xf numFmtId="0" fontId="18" fillId="4" borderId="0" pivotButton="0" quotePrefix="0" xfId="0"/>
    <xf numFmtId="0" fontId="19" fillId="19" borderId="14" applyAlignment="1" pivotButton="0" quotePrefix="0" xfId="0">
      <alignment horizontal="center" vertical="center" wrapText="1"/>
    </xf>
    <xf numFmtId="0" fontId="20" fillId="4" borderId="14" applyAlignment="1" pivotButton="0" quotePrefix="0" xfId="0">
      <alignment horizontal="center" vertical="center" wrapText="1"/>
    </xf>
    <xf numFmtId="0" fontId="20" fillId="4" borderId="14" applyAlignment="1" pivotButton="0" quotePrefix="0" xfId="0">
      <alignment horizontal="left" vertical="center" wrapText="1"/>
    </xf>
    <xf numFmtId="0" fontId="20" fillId="4" borderId="14" applyAlignment="1" pivotButton="0" quotePrefix="0" xfId="0">
      <alignment horizontal="center" vertical="center"/>
    </xf>
    <xf numFmtId="166" fontId="20" fillId="4" borderId="14" applyAlignment="1" pivotButton="0" quotePrefix="0" xfId="0">
      <alignment horizontal="center" vertical="center" wrapText="1"/>
    </xf>
    <xf numFmtId="9" fontId="20" fillId="4" borderId="14" applyAlignment="1" pivotButton="0" quotePrefix="0" xfId="0">
      <alignment horizontal="center" vertical="center"/>
    </xf>
    <xf numFmtId="166" fontId="20" fillId="4" borderId="14" applyAlignment="1" pivotButton="0" quotePrefix="0" xfId="0">
      <alignment horizontal="center" vertical="center"/>
    </xf>
    <xf numFmtId="0" fontId="20" fillId="6" borderId="14" applyAlignment="1" pivotButton="0" quotePrefix="0" xfId="0">
      <alignment horizontal="center" vertical="center"/>
    </xf>
    <xf numFmtId="0" fontId="20" fillId="20" borderId="14" applyAlignment="1" pivotButton="0" quotePrefix="0" xfId="0">
      <alignment horizontal="center" vertical="center" wrapText="1"/>
    </xf>
    <xf numFmtId="0" fontId="20" fillId="20" borderId="14" applyAlignment="1" pivotButton="0" quotePrefix="0" xfId="0">
      <alignment horizontal="left" vertical="center" wrapText="1"/>
    </xf>
    <xf numFmtId="0" fontId="20" fillId="20" borderId="14" applyAlignment="1" pivotButton="0" quotePrefix="0" xfId="0">
      <alignment horizontal="center" vertical="center"/>
    </xf>
    <xf numFmtId="166" fontId="20" fillId="20" borderId="14" applyAlignment="1" pivotButton="0" quotePrefix="0" xfId="0">
      <alignment horizontal="center" vertical="center" wrapText="1"/>
    </xf>
    <xf numFmtId="9" fontId="20" fillId="20" borderId="14" applyAlignment="1" pivotButton="0" quotePrefix="0" xfId="0">
      <alignment horizontal="center" vertical="center"/>
    </xf>
    <xf numFmtId="166" fontId="20" fillId="20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165" fontId="22" fillId="4" borderId="17" applyAlignment="1" pivotButton="0" quotePrefix="0" xfId="0">
      <alignment horizontal="left" vertical="center" wrapText="1"/>
    </xf>
    <xf numFmtId="0" fontId="24" fillId="23" borderId="17" applyAlignment="1" pivotButton="0" quotePrefix="0" xfId="0">
      <alignment horizontal="left" vertical="center" wrapText="1"/>
    </xf>
    <xf numFmtId="0" fontId="24" fillId="4" borderId="17" applyAlignment="1" pivotButton="0" quotePrefix="0" xfId="0">
      <alignment horizontal="left" vertical="center" wrapText="1"/>
    </xf>
    <xf numFmtId="0" fontId="24" fillId="15" borderId="17" applyAlignment="1" pivotButton="0" quotePrefix="0" xfId="0">
      <alignment horizontal="left" vertical="center" wrapText="1"/>
    </xf>
    <xf numFmtId="0" fontId="24" fillId="10" borderId="17" applyAlignment="1" pivotButton="0" quotePrefix="0" xfId="0">
      <alignment horizontal="left" vertical="center" wrapText="1"/>
    </xf>
    <xf numFmtId="0" fontId="24" fillId="24" borderId="17" applyAlignment="1" pivotButton="0" quotePrefix="0" xfId="0">
      <alignment horizontal="left" vertical="center" wrapText="1"/>
    </xf>
    <xf numFmtId="166" fontId="24" fillId="4" borderId="0" applyAlignment="1" pivotButton="0" quotePrefix="0" xfId="0">
      <alignment horizontal="left" vertical="center" wrapText="1"/>
    </xf>
    <xf numFmtId="0" fontId="27" fillId="25" borderId="17" applyAlignment="1" pivotButton="0" quotePrefix="0" xfId="0">
      <alignment horizontal="center" vertical="center" wrapText="1"/>
    </xf>
    <xf numFmtId="0" fontId="25" fillId="22" borderId="17" applyAlignment="1" pivotButton="0" quotePrefix="0" xfId="0">
      <alignment horizontal="center" vertical="center" wrapText="1"/>
    </xf>
    <xf numFmtId="0" fontId="24" fillId="4" borderId="17" applyAlignment="1" pivotButton="0" quotePrefix="0" xfId="0">
      <alignment horizontal="center" vertical="center" wrapText="1"/>
    </xf>
    <xf numFmtId="166" fontId="24" fillId="4" borderId="17" applyAlignment="1" pivotButton="0" quotePrefix="0" xfId="0">
      <alignment horizontal="center" vertical="center" wrapText="1"/>
    </xf>
    <xf numFmtId="9" fontId="24" fillId="4" borderId="17" applyAlignment="1" pivotButton="0" quotePrefix="0" xfId="0">
      <alignment horizontal="center" vertical="center" wrapText="1"/>
    </xf>
    <xf numFmtId="0" fontId="28" fillId="23" borderId="17" applyAlignment="1" pivotButton="0" quotePrefix="0" xfId="0">
      <alignment horizontal="center" vertical="center" wrapText="1"/>
    </xf>
    <xf numFmtId="0" fontId="27" fillId="26" borderId="17" applyAlignment="1" pivotButton="0" quotePrefix="0" xfId="0">
      <alignment horizontal="left" vertical="center" wrapText="1"/>
    </xf>
    <xf numFmtId="0" fontId="24" fillId="26" borderId="17" applyAlignment="1" pivotButton="0" quotePrefix="0" xfId="0">
      <alignment horizontal="left" vertical="center" wrapText="1"/>
    </xf>
    <xf numFmtId="0" fontId="24" fillId="26" borderId="17" applyAlignment="1" pivotButton="0" quotePrefix="0" xfId="0">
      <alignment horizontal="center" vertical="center" wrapText="1"/>
    </xf>
    <xf numFmtId="166" fontId="24" fillId="26" borderId="17" applyAlignment="1" pivotButton="0" quotePrefix="0" xfId="0">
      <alignment horizontal="center" vertical="center" wrapText="1"/>
    </xf>
    <xf numFmtId="9" fontId="24" fillId="26" borderId="17" applyAlignment="1" pivotButton="0" quotePrefix="0" xfId="0">
      <alignment horizontal="center" vertical="center" wrapText="1"/>
    </xf>
    <xf numFmtId="167" fontId="24" fillId="4" borderId="17" applyAlignment="1" pivotButton="0" quotePrefix="0" xfId="0">
      <alignment horizontal="center" vertical="center" wrapText="1"/>
    </xf>
    <xf numFmtId="0" fontId="27" fillId="4" borderId="17" applyAlignment="1" pivotButton="0" quotePrefix="0" xfId="0">
      <alignment horizontal="left" vertical="center" wrapText="1"/>
    </xf>
    <xf numFmtId="0" fontId="31" fillId="28" borderId="14" applyAlignment="1" pivotButton="0" quotePrefix="0" xfId="0">
      <alignment horizontal="center" vertical="center" wrapText="1"/>
    </xf>
    <xf numFmtId="0" fontId="20" fillId="29" borderId="14" applyAlignment="1" pivotButton="0" quotePrefix="0" xfId="0">
      <alignment horizontal="center" vertical="center" wrapText="1"/>
    </xf>
    <xf numFmtId="166" fontId="20" fillId="6" borderId="14" applyAlignment="1" pivotButton="0" quotePrefix="0" xfId="0">
      <alignment horizontal="center" vertical="center" wrapText="1"/>
    </xf>
    <xf numFmtId="0" fontId="20" fillId="6" borderId="14" applyAlignment="1" pivotButton="0" quotePrefix="0" xfId="0">
      <alignment horizontal="center" vertical="center" wrapText="1"/>
    </xf>
    <xf numFmtId="9" fontId="20" fillId="6" borderId="14" applyAlignment="1" pivotButton="0" quotePrefix="0" xfId="0">
      <alignment horizontal="center" vertical="center" wrapText="1"/>
    </xf>
    <xf numFmtId="0" fontId="20" fillId="29" borderId="14" applyAlignment="1" pivotButton="0" quotePrefix="0" xfId="0">
      <alignment horizontal="left" vertical="center" wrapText="1"/>
    </xf>
    <xf numFmtId="9" fontId="20" fillId="4" borderId="14" applyAlignment="1" pivotButton="0" quotePrefix="0" xfId="0">
      <alignment horizontal="center" vertical="center" wrapText="1"/>
    </xf>
    <xf numFmtId="0" fontId="32" fillId="6" borderId="14" applyAlignment="1" pivotButton="0" quotePrefix="0" xfId="0">
      <alignment horizontal="center" vertical="center" wrapText="1"/>
    </xf>
    <xf numFmtId="166" fontId="20" fillId="29" borderId="14" applyAlignment="1" pivotButton="0" quotePrefix="0" xfId="0">
      <alignment horizontal="center" vertical="center" wrapText="1"/>
    </xf>
    <xf numFmtId="0" fontId="35" fillId="6" borderId="19" applyAlignment="1" pivotButton="0" quotePrefix="0" xfId="0">
      <alignment horizontal="left" vertical="center"/>
    </xf>
    <xf numFmtId="0" fontId="36" fillId="32" borderId="19" applyAlignment="1" pivotButton="0" quotePrefix="0" xfId="0">
      <alignment vertical="center" wrapText="1"/>
    </xf>
    <xf numFmtId="0" fontId="22" fillId="33" borderId="19" applyAlignment="1" pivotButton="0" quotePrefix="0" xfId="0">
      <alignment horizontal="center"/>
    </xf>
    <xf numFmtId="0" fontId="22" fillId="6" borderId="19" applyAlignment="1" pivotButton="0" quotePrefix="0" xfId="0">
      <alignment horizontal="center"/>
    </xf>
    <xf numFmtId="0" fontId="22" fillId="32" borderId="19" applyAlignment="1" pivotButton="0" quotePrefix="0" xfId="0">
      <alignment horizontal="center"/>
    </xf>
    <xf numFmtId="168" fontId="3" fillId="32" borderId="19" applyAlignment="1" pivotButton="0" quotePrefix="0" xfId="0">
      <alignment horizontal="left" vertical="center"/>
    </xf>
    <xf numFmtId="168" fontId="37" fillId="4" borderId="19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3" fillId="32" borderId="19" applyAlignment="1" pivotButton="0" quotePrefix="0" xfId="0">
      <alignment horizontal="left" vertical="center"/>
    </xf>
    <xf numFmtId="0" fontId="38" fillId="6" borderId="19" applyAlignment="1" pivotButton="0" quotePrefix="0" xfId="0">
      <alignment horizontal="center"/>
    </xf>
    <xf numFmtId="0" fontId="22" fillId="9" borderId="19" applyAlignment="1" pivotButton="0" quotePrefix="0" xfId="0">
      <alignment horizontal="left" vertical="center"/>
    </xf>
    <xf numFmtId="0" fontId="19" fillId="19" borderId="19" applyAlignment="1" pivotButton="0" quotePrefix="0" xfId="0">
      <alignment horizontal="center"/>
    </xf>
    <xf numFmtId="0" fontId="22" fillId="34" borderId="19" applyAlignment="1" pivotButton="0" quotePrefix="0" xfId="0">
      <alignment horizontal="left" vertical="center"/>
    </xf>
    <xf numFmtId="0" fontId="22" fillId="35" borderId="19" applyAlignment="1" pivotButton="0" quotePrefix="0" xfId="0">
      <alignment horizontal="left" vertical="center"/>
    </xf>
    <xf numFmtId="165" fontId="22" fillId="36" borderId="19" applyAlignment="1" pivotButton="0" quotePrefix="0" xfId="0">
      <alignment horizontal="center"/>
    </xf>
    <xf numFmtId="0" fontId="38" fillId="36" borderId="19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8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1" fillId="2" borderId="13" applyAlignment="1" pivotButton="0" quotePrefix="0" xfId="0">
      <alignment horizontal="left" vertical="center"/>
    </xf>
    <xf numFmtId="0" fontId="11" fillId="13" borderId="13" applyAlignment="1" pivotButton="0" quotePrefix="0" xfId="0">
      <alignment horizontal="left" vertical="center"/>
    </xf>
    <xf numFmtId="0" fontId="11" fillId="14" borderId="13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top" wrapText="1"/>
    </xf>
    <xf numFmtId="0" fontId="10" fillId="0" borderId="13" applyAlignment="1" pivotButton="0" quotePrefix="0" xfId="0">
      <alignment horizontal="left"/>
    </xf>
    <xf numFmtId="0" fontId="14" fillId="17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21" fillId="2" borderId="15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left" vertical="center" wrapText="1"/>
    </xf>
    <xf numFmtId="0" fontId="25" fillId="21" borderId="16" applyAlignment="1" pivotButton="0" quotePrefix="0" xfId="0">
      <alignment horizontal="left" vertical="center" wrapText="1"/>
    </xf>
    <xf numFmtId="0" fontId="25" fillId="2" borderId="16" applyAlignment="1" pivotButton="0" quotePrefix="0" xfId="0">
      <alignment horizontal="left" vertical="center" wrapText="1"/>
    </xf>
    <xf numFmtId="0" fontId="25" fillId="22" borderId="16" applyAlignment="1" pivotButton="0" quotePrefix="0" xfId="0">
      <alignment horizontal="left" vertical="center" wrapText="1"/>
    </xf>
    <xf numFmtId="0" fontId="26" fillId="4" borderId="17" applyAlignment="1" pivotButton="0" quotePrefix="0" xfId="0">
      <alignment horizontal="left" vertical="center" wrapText="1"/>
    </xf>
    <xf numFmtId="166" fontId="25" fillId="2" borderId="16" applyAlignment="1" pivotButton="0" quotePrefix="0" xfId="0">
      <alignment horizontal="left" vertical="center" wrapText="1"/>
    </xf>
    <xf numFmtId="0" fontId="29" fillId="27" borderId="16" applyAlignment="1" pivotButton="0" quotePrefix="0" xfId="0">
      <alignment horizontal="left" vertical="center" wrapText="1"/>
    </xf>
    <xf numFmtId="0" fontId="30" fillId="5" borderId="18" applyAlignment="1" pivotButton="0" quotePrefix="0" xfId="0">
      <alignment horizontal="left" vertical="center" wrapText="1"/>
    </xf>
    <xf numFmtId="0" fontId="14" fillId="17" borderId="0" pivotButton="0" quotePrefix="0" xfId="0"/>
    <xf numFmtId="0" fontId="1" fillId="19" borderId="15" applyAlignment="1" pivotButton="0" quotePrefix="0" xfId="0">
      <alignment horizontal="left" vertical="center"/>
    </xf>
    <xf numFmtId="0" fontId="33" fillId="30" borderId="0" applyAlignment="1" pivotButton="0" quotePrefix="0" xfId="0">
      <alignment horizontal="left" vertical="center"/>
    </xf>
    <xf numFmtId="0" fontId="34" fillId="31" borderId="16" applyAlignment="1" pivotButton="0" quotePrefix="0" xfId="0">
      <alignment horizontal="left" vertical="center"/>
    </xf>
    <xf numFmtId="0" fontId="34" fillId="19" borderId="16" applyAlignment="1" pivotButton="0" quotePrefix="0" xfId="0">
      <alignment horizontal="left" vertical="center"/>
    </xf>
    <xf numFmtId="0" fontId="34" fillId="22" borderId="16" applyAlignment="1" pivotButton="0" quotePrefix="0" xfId="0">
      <alignment horizontal="left" vertical="center"/>
    </xf>
    <xf numFmtId="0" fontId="39" fillId="12" borderId="19" applyAlignment="1" pivotButton="0" quotePrefix="0" xfId="0">
      <alignment vertical="top" wrapText="1"/>
    </xf>
    <xf numFmtId="0" fontId="10" fillId="0" borderId="13" applyAlignment="1" pivotButton="0" quotePrefix="0" xfId="0">
      <alignment vertical="center"/>
    </xf>
    <xf numFmtId="0" fontId="12" fillId="37" borderId="20" applyAlignment="1" pivotButton="0" quotePrefix="0" xfId="0">
      <alignment horizontal="center"/>
    </xf>
    <xf numFmtId="0" fontId="12" fillId="37" borderId="0" applyAlignment="1" pivotButton="0" quotePrefix="0" xfId="0">
      <alignment horizontal="center"/>
    </xf>
    <xf numFmtId="0" fontId="12" fillId="37" borderId="21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2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22" pivotButton="0" quotePrefix="0" xfId="0"/>
    <xf numFmtId="0" fontId="0" fillId="0" borderId="34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32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3" pivotButton="0" quotePrefix="0" xfId="0"/>
    <xf numFmtId="0" fontId="12" fillId="37" borderId="23" applyAlignment="1" pivotButton="0" quotePrefix="0" xfId="0">
      <alignment horizontal="center"/>
    </xf>
    <xf numFmtId="0" fontId="0" fillId="0" borderId="20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7" pivotButton="0" quotePrefix="0" xfId="0"/>
    <xf numFmtId="0" fontId="0" fillId="0" borderId="15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59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0" fontId="0" fillId="0" borderId="75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40" fillId="4" borderId="80" applyAlignment="1" pivotButton="0" quotePrefix="0" xfId="0">
      <alignment horizontal="center" vertical="center"/>
    </xf>
    <xf numFmtId="0" fontId="40" fillId="4" borderId="80" applyAlignment="1" pivotButton="0" quotePrefix="0" xfId="0">
      <alignment horizontal="left" vertical="center"/>
    </xf>
    <xf numFmtId="166" fontId="40" fillId="4" borderId="80" applyAlignment="1" pivotButton="0" quotePrefix="0" xfId="0">
      <alignment horizontal="center" vertical="center"/>
    </xf>
    <xf numFmtId="0" fontId="40" fillId="20" borderId="80" applyAlignment="1" pivotButton="0" quotePrefix="0" xfId="0">
      <alignment horizontal="center" vertical="center"/>
    </xf>
    <xf numFmtId="0" fontId="40" fillId="20" borderId="80" applyAlignment="1" pivotButton="0" quotePrefix="0" xfId="0">
      <alignment horizontal="left" vertical="center"/>
    </xf>
    <xf numFmtId="166" fontId="40" fillId="20" borderId="80" applyAlignment="1" pivotButton="0" quotePrefix="0" xfId="0">
      <alignment horizontal="center" vertical="center"/>
    </xf>
    <xf numFmtId="0" fontId="41" fillId="20" borderId="80" applyAlignment="1" pivotButton="0" quotePrefix="0" xfId="0">
      <alignment horizontal="center" vertical="center"/>
    </xf>
    <xf numFmtId="0" fontId="41" fillId="20" borderId="80" applyAlignment="1" pivotButton="0" quotePrefix="0" xfId="0">
      <alignment horizontal="left" vertical="center"/>
    </xf>
    <xf numFmtId="166" fontId="41" fillId="20" borderId="80" applyAlignment="1" pivotButton="0" quotePrefix="0" xfId="0">
      <alignment horizontal="center" vertical="center"/>
    </xf>
    <xf numFmtId="9" fontId="41" fillId="20" borderId="80" applyAlignment="1" pivotButton="0" quotePrefix="0" xfId="0">
      <alignment horizontal="center" vertical="center"/>
    </xf>
    <xf numFmtId="0" fontId="41" fillId="18" borderId="80" applyAlignment="1" pivotButton="0" quotePrefix="0" xfId="0">
      <alignment horizontal="center" vertical="center"/>
    </xf>
  </cellXfs>
  <cellStyles count="1">
    <cellStyle name="Normal" xfId="0" builtinId="0"/>
  </cellStyles>
  <dxfs count="52">
    <dxf>
      <font>
        <color rgb="FFB4B2A9"/>
      </font>
    </dxf>
    <dxf>
      <font>
        <b val="1"/>
        <color rgb="FF6B7280"/>
      </font>
      <fill>
        <patternFill>
          <bgColor rgb="FFF3F4F6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1D4ED8"/>
      </font>
      <fill>
        <patternFill>
          <bgColor rgb="FFEFF6FF"/>
        </patternFill>
      </fill>
    </dxf>
    <dxf>
      <font>
        <b val="1"/>
        <color rgb="FF854F0B"/>
      </font>
      <fill>
        <patternFill>
          <bgColor rgb="FFFAEEDA"/>
        </patternFill>
      </fill>
    </dxf>
    <dxf>
      <fill>
        <patternFill>
          <bgColor rgb="FFFAECE7"/>
        </patternFill>
      </fill>
    </dxf>
    <dxf>
      <fill>
        <patternFill>
          <bgColor rgb="FFEEEDFE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  <dxf>
      <fill>
        <patternFill>
          <bgColor rgb="FFE6F1FB"/>
        </patternFill>
      </fill>
    </dxf>
    <dxf>
      <fill>
        <patternFill>
          <bgColor rgb="FFFAECE7"/>
        </patternFill>
      </fill>
    </dxf>
    <dxf>
      <fill>
        <patternFill>
          <bgColor rgb="FFEEEDFE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  <dxf>
      <fill>
        <patternFill>
          <bgColor rgb="FFE6F1FB"/>
        </patternFill>
      </fill>
    </dxf>
    <dxf>
      <fill>
        <patternFill>
          <bgColor rgb="FFFAECE7"/>
        </patternFill>
      </fill>
    </dxf>
    <dxf>
      <fill>
        <patternFill>
          <bgColor rgb="FFEEEDFE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  <dxf>
      <fill>
        <patternFill>
          <bgColor rgb="FFE6F1F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b val="1"/>
        <color rgb="FF1E40AF"/>
      </font>
      <fill>
        <patternFill>
          <bgColor rgb="FFDBEAFE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>
          <bgColor rgb="FFEAF8F0"/>
        </patternFill>
      </fill>
    </dxf>
    <dxf>
      <fill>
        <patternFill>
          <bgColor rgb="FFFDECEC"/>
        </patternFill>
      </fill>
    </dxf>
    <dxf>
      <fill>
        <patternFill>
          <bgColor rgb="FFEAF2FF"/>
        </patternFill>
      </fill>
    </dxf>
    <dxf>
      <font>
        <name val="Calibri"/>
        <charset val="1"/>
        <b val="1"/>
        <color rgb="FF17375E"/>
        <sz val="11"/>
      </font>
      <fill>
        <patternFill>
          <bgColor rgb="FFFFF8DB"/>
        </patternFill>
      </fill>
    </dxf>
    <dxf>
      <font>
        <name val="Calibri"/>
        <charset val="1"/>
        <b val="1"/>
        <color rgb="FFE45B5B"/>
        <sz val="10"/>
      </font>
      <fill>
        <patternFill>
          <bgColor rgb="FFFDECEC"/>
        </patternFill>
      </fill>
    </dxf>
    <dxf>
      <font>
        <name val="Calibri"/>
        <charset val="1"/>
        <b val="1"/>
        <color rgb="FF27AE60"/>
        <sz val="10"/>
      </font>
      <fill>
        <patternFill>
          <bgColor rgb="FFEAF8F0"/>
        </patternFill>
      </fill>
    </dxf>
    <dxf>
      <font>
        <name val="Calibri"/>
        <charset val="1"/>
        <b val="1"/>
        <color rgb="FF9A6700"/>
        <sz val="10"/>
      </font>
      <fill>
        <patternFill>
          <bgColor rgb="FFFFF8DB"/>
        </patternFill>
      </fill>
    </dxf>
    <dxf>
      <font>
        <name val="Calibri"/>
        <charset val="1"/>
        <b val="1"/>
        <color rgb="FF2F80ED"/>
        <sz val="10"/>
      </font>
      <fill>
        <patternFill>
          <bgColor rgb="FFEAF2FF"/>
        </patternFill>
      </fill>
    </dxf>
    <dxf>
      <font>
        <b val="1"/>
        <color rgb="FFA32D2D"/>
      </font>
      <fill>
        <patternFill>
          <bgColor rgb="FFFCEBEB"/>
        </patternFill>
      </fill>
    </dxf>
    <dxf>
      <font>
        <color rgb="FF1D4ED8"/>
      </font>
      <fill>
        <patternFill>
          <bgColor rgb="FFEFF6FF"/>
        </patternFill>
      </fill>
    </dxf>
    <dxf>
      <font>
        <b val="1"/>
        <color rgb="FF6B7280"/>
      </font>
      <fill>
        <patternFill>
          <bgColor rgb="FFF9FAFB"/>
        </patternFill>
      </fill>
    </dxf>
    <dxf>
      <font>
        <b val="1"/>
        <color rgb="FFA32D2D"/>
      </font>
      <fill>
        <patternFill>
          <bgColor rgb="FFFCEBEB"/>
        </patternFill>
      </fill>
    </dxf>
    <dxf>
      <font>
        <b val="1"/>
        <color rgb="FF92400E"/>
      </font>
      <fill>
        <patternFill>
          <bgColor rgb="FFFFFBEB"/>
        </patternFill>
      </fill>
    </dxf>
    <dxf>
      <font>
        <b val="1"/>
        <color rgb="FF1D4ED8"/>
      </font>
      <fill>
        <patternFill>
          <bgColor rgb="FFEFF6FF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A32D2D"/>
      </font>
      <fill>
        <patternFill>
          <bgColor rgb="FFFCEBEB"/>
        </patternFill>
      </fill>
    </dxf>
    <dxf>
      <fill>
        <patternFill>
          <bgColor rgb="FFFDE7E9"/>
        </patternFill>
      </fill>
    </dxf>
    <dxf>
      <font>
        <color rgb="FF166534"/>
      </font>
      <fill>
        <patternFill>
          <bgColor rgb="FFF0FDF4"/>
        </patternFill>
      </fill>
    </dxf>
    <dxf>
      <fill>
        <patternFill>
          <bgColor rgb="FFFFFBEB"/>
        </patternFill>
      </fill>
    </dxf>
    <dxf>
      <font>
        <color rgb="FFA32D2D"/>
      </font>
      <fill>
        <patternFill>
          <bgColor rgb="FFFFF0F0"/>
        </patternFill>
      </fill>
    </dxf>
    <dxf>
      <fill>
        <patternFill>
          <bgColor rgb="FFFCEBEB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3F4F6"/>
      <rgbColor rgb="FFEAF8F0"/>
      <rgbColor rgb="FFF7F8FA"/>
      <rgbColor rgb="FFFFF7DB"/>
      <rgbColor rgb="FFFFF0F0"/>
      <rgbColor rgb="FFE6F1FB"/>
      <rgbColor rgb="FFB4100F"/>
      <rgbColor rgb="FF166534"/>
      <rgbColor rgb="FFFFFBEB"/>
      <rgbColor rgb="FFFCEBEB"/>
      <rgbColor rgb="FFEFF3F8"/>
      <rgbColor rgb="FF0F8B8D"/>
      <rgbColor rgb="FFACAEAD"/>
      <rgbColor rgb="FF79737D"/>
      <rgbColor rgb="FFDCEBFF"/>
      <rgbColor rgb="FFEEEDFE"/>
      <rgbColor rgb="FFFFF8DB"/>
      <rgbColor rgb="FFDCFCE7"/>
      <rgbColor rgb="FFEEF5FF"/>
      <rgbColor rgb="FFFDEAEA"/>
      <rgbColor rgb="FF1D4BD2"/>
      <rgbColor rgb="FFD0D7DE"/>
      <rgbColor rgb="FFFBFEFE"/>
      <rgbColor rgb="FFFFF1E6"/>
      <rgbColor rgb="FFFAEEDA"/>
      <rgbColor rgb="FFE9F1FF"/>
      <rgbColor rgb="FFEEF4FC"/>
      <rgbColor rgb="FFEFF6FF"/>
      <rgbColor rgb="FF138B7B"/>
      <rgbColor rgb="FFEFFCF3"/>
      <rgbColor rgb="FFEAF2FF"/>
      <rgbColor rgb="FFE1F5EE"/>
      <rgbColor rgb="FFEAF7EE"/>
      <rgbColor rgb="FFFFF4D6"/>
      <rgbColor rgb="FFD1D5DB"/>
      <rgbColor rgb="FFD9E3F7"/>
      <rgbColor rgb="FFD7DCE2"/>
      <rgbColor rgb="FFFEE2E2"/>
      <rgbColor rgb="FF2F80EF"/>
      <rgbColor rgb="FF2F80ED"/>
      <rgbColor rgb="FFDFF1FF"/>
      <rgbColor rgb="FFFAECE7"/>
      <rgbColor rgb="FFF4AA1D"/>
      <rgbColor rgb="FFE85453"/>
      <rgbColor rgb="FF505861"/>
      <rgbColor rgb="FF558DCC"/>
      <rgbColor rgb="FF17375E"/>
      <rgbColor rgb="FF18A27F"/>
      <rgbColor rgb="FF0F2747"/>
      <rgbColor rgb="FFEEF3F8"/>
      <rgbColor rgb="FF915204"/>
      <rgbColor rgb="FFFDECEC"/>
      <rgbColor rgb="FF1A3A63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Trạng thái task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LEADER_BOARD!$B$11</f>
              <strCache>
                <ptCount val="1"/>
                <pt idx="0">
                  <v>Số lượng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CA3AF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59E0B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B82F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EF4444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DC262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LEADER_BOARD!$A$12:$A$17</f>
              <strCache>
                <ptCount val="6"/>
                <pt idx="0">
                  <v>Chưa bắt đầu</v>
                </pt>
                <pt idx="1">
                  <v>Sắp đến hạn</v>
                </pt>
                <pt idx="2">
                  <v>Đang thực hiện</v>
                </pt>
                <pt idx="3">
                  <v>Hoàn thành</v>
                </pt>
                <pt idx="4">
                  <v>Trễ hạn</v>
                </pt>
                <pt idx="5">
                  <v>Blocked</v>
                </pt>
              </strCache>
            </strRef>
          </cat>
          <val>
            <numRef>
              <f>LEADER_BOARD!$B$12:$B$17</f>
              <numCache>
                <formatCode>General</formatCode>
                <ptCount val="6"/>
                <pt idx="0">
                  <v>27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L6" authorId="0" shapeId="0">
      <text>
        <t>Editable. Ghi ngày bắt đầu thực tế khi thực sự bắt tay làm.</t>
      </text>
    </comment>
    <comment ref="O6" authorId="0" shapeId="0">
      <text>
        <t>Editable. Nhập theo phần trăm: 0%, 25%, 50%, 75%, 100%.</t>
      </text>
    </comment>
    <comment ref="Q6" authorId="0" shapeId="0">
      <text>
        <t>Nếu task đang chờ dependency / blocker, chọn Có và tạo issue trong ISSUE_FEEDBACK_LOG nếu cần.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15331</colOff>
      <row>9</row>
      <rowOff>298973</rowOff>
    </from>
    <to>
      <col>5</col>
      <colOff>981247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showGridLines="0" zoomScale="70" zoomScaleNormal="137" workbookViewId="0">
      <pane ySplit="4" topLeftCell="A5" activePane="bottomLeft" state="frozen"/>
      <selection pane="bottomLeft" activeCell="G39" sqref="G39"/>
    </sheetView>
  </sheetViews>
  <sheetFormatPr baseColWidth="8" defaultColWidth="8.69140625" defaultRowHeight="12.45"/>
  <cols>
    <col width="14" customWidth="1" min="1" max="14"/>
    <col hidden="1" width="12" customWidth="1" min="15" max="20"/>
    <col hidden="1" width="10" customWidth="1" min="28" max="32"/>
  </cols>
  <sheetData>
    <row r="1" ht="27.75" customHeight="1">
      <c r="A1" s="14" t="inlineStr">
        <is>
          <t>LEADER BOARD | Executive dashboard cho leader / manager</t>
        </is>
      </c>
      <c r="O1" t="inlineStr">
        <is>
          <t>Status</t>
        </is>
      </c>
      <c r="P1" t="inlineStr">
        <is>
          <t>Count</t>
        </is>
      </c>
      <c r="AB1" t="inlineStr">
        <is>
          <t>Thành viên</t>
        </is>
      </c>
      <c r="AC1" t="inlineStr">
        <is>
          <t>Open Tasks</t>
        </is>
      </c>
      <c r="AD1" t="inlineStr">
        <is>
          <t>Due ≤7d</t>
        </is>
      </c>
      <c r="AE1" t="inlineStr">
        <is>
          <t>Overdue</t>
        </is>
      </c>
      <c r="AF1" t="inlineStr">
        <is>
          <t>Done %</t>
        </is>
      </c>
    </row>
    <row r="2" ht="21.75" customHeight="1">
      <c r="A2" s="13" t="inlineStr">
        <is>
          <t>Bản tối giản để leader theo dõi KPI, tải việc, rủi ro và ưu tiên tuần này. Nguồn dữ liệu lấy tự động từ TASK_BOARD, DELIVERABLES, TEAM, MEETING_LOG và ISSUE_FEEDBACK_LOG.</t>
        </is>
      </c>
      <c r="O2">
        <f>A12</f>
        <v/>
      </c>
      <c r="P2">
        <f>B12</f>
        <v/>
      </c>
      <c r="AB2">
        <f>TEAM!B6</f>
        <v/>
      </c>
      <c r="AC2">
        <f>TEAM!I6</f>
        <v/>
      </c>
      <c r="AD2">
        <f>TEAM!J6</f>
        <v/>
      </c>
      <c r="AE2">
        <f>TEAM!K6</f>
        <v/>
      </c>
      <c r="AF2" s="15">
        <f>TEAM!M6</f>
        <v/>
      </c>
    </row>
    <row r="3" ht="15" customHeight="1">
      <c r="O3">
        <f>A13</f>
        <v/>
      </c>
      <c r="P3">
        <f>B13</f>
        <v/>
      </c>
      <c r="AB3">
        <f>TEAM!B7</f>
        <v/>
      </c>
      <c r="AC3">
        <f>TEAM!I7</f>
        <v/>
      </c>
      <c r="AD3">
        <f>TEAM!J7</f>
        <v/>
      </c>
      <c r="AE3">
        <f>TEAM!K7</f>
        <v/>
      </c>
      <c r="AF3" s="15">
        <f>TEAM!M7</f>
        <v/>
      </c>
    </row>
    <row r="4" ht="15" customHeight="1">
      <c r="O4">
        <f>A14</f>
        <v/>
      </c>
      <c r="P4">
        <f>B14</f>
        <v/>
      </c>
      <c r="AB4">
        <f>TEAM!B8</f>
        <v/>
      </c>
      <c r="AC4">
        <f>TEAM!I8</f>
        <v/>
      </c>
      <c r="AD4">
        <f>TEAM!J8</f>
        <v/>
      </c>
      <c r="AE4">
        <f>TEAM!K8</f>
        <v/>
      </c>
      <c r="AF4" s="15">
        <f>TEAM!M8</f>
        <v/>
      </c>
    </row>
    <row r="5" ht="21.75" customHeight="1">
      <c r="A5" s="12" t="inlineStr">
        <is>
          <t>Task mở</t>
        </is>
      </c>
      <c r="B5" s="143" t="n"/>
      <c r="C5" s="11" t="inlineStr">
        <is>
          <t>% hoàn thành</t>
        </is>
      </c>
      <c r="D5" s="144" t="n"/>
      <c r="E5" s="10" t="inlineStr">
        <is>
          <t>Đang thực hiện</t>
        </is>
      </c>
      <c r="F5" s="145" t="n"/>
      <c r="G5" s="9" t="inlineStr">
        <is>
          <t>At risk</t>
        </is>
      </c>
      <c r="H5" s="146" t="n"/>
      <c r="I5" s="8" t="inlineStr">
        <is>
          <t>Issue mở</t>
        </is>
      </c>
      <c r="J5" s="147" t="n"/>
      <c r="K5" s="7" t="inlineStr">
        <is>
          <t>Deliverable mở</t>
        </is>
      </c>
      <c r="L5" s="148" t="n"/>
      <c r="M5" s="8" t="inlineStr">
        <is>
          <t>Due ≤ 7 ngày</t>
        </is>
      </c>
      <c r="N5" s="147" t="n"/>
      <c r="O5">
        <f>A15</f>
        <v/>
      </c>
      <c r="P5">
        <f>B15</f>
        <v/>
      </c>
      <c r="AB5">
        <f>TEAM!B9</f>
        <v/>
      </c>
      <c r="AC5">
        <f>TEAM!I9</f>
        <v/>
      </c>
      <c r="AD5">
        <f>TEAM!J9</f>
        <v/>
      </c>
      <c r="AE5">
        <f>TEAM!K9</f>
        <v/>
      </c>
      <c r="AF5" s="15">
        <f>TEAM!M9</f>
        <v/>
      </c>
    </row>
    <row r="6" ht="42" customHeight="1">
      <c r="A6" s="6">
        <f>COUNTIFS(TASK_BOARD!$A$7:$A$150,"&lt;&gt;",TASK_BOARD!$R$7:$R$150,"&lt;&gt;Hoàn thành")</f>
        <v/>
      </c>
      <c r="B6" s="149" t="n"/>
      <c r="C6" s="5">
        <f>IFERROR(COUNTIFS(TASK_BOARD!$R$7:$R$150,"Hoàn thành")/COUNTIF(TASK_BOARD!$A$7:$A$150,"&lt;&gt;"),0)</f>
        <v/>
      </c>
      <c r="D6" s="149" t="n"/>
      <c r="E6" s="4">
        <f>COUNTIFS(TASK_BOARD!$R$7:$R$150,"Đang thực hiện")</f>
        <v/>
      </c>
      <c r="F6" s="149" t="n"/>
      <c r="G6" s="3">
        <f>COUNTIFS(TASK_BOARD!$R$7:$R$150,"Trễ hạn")+COUNTIFS(TASK_BOARD!$R$7:$R$150,"Blocked")</f>
        <v/>
      </c>
      <c r="H6" s="149" t="n"/>
      <c r="I6" s="2">
        <f>COUNTIFS(ISSUE_FEEDBACK_LOG!$L$7:$L$80,"&lt;&gt;Closed",ISSUE_FEEDBACK_LOG!$A$7:$A$80,"&lt;&gt;")</f>
        <v/>
      </c>
      <c r="J6" s="149" t="n"/>
      <c r="K6" s="1">
        <f>COUNTIFS(DELIVERABLES!$G$7:$G$30,"&lt;&gt;Hoàn thành",DELIVERABLES!$A$7:$A$30,"&lt;&gt;")</f>
        <v/>
      </c>
      <c r="L6" s="149" t="n"/>
      <c r="M6" s="2">
        <f>COUNTIFS(TASK_BOARD!$K$7:$K$150,"&gt;="&amp;CONFIG!$B$5,TASK_BOARD!$K$7:$K$150,"&lt;="&amp;CONFIG!$B$5+7,TASK_BOARD!$R$7:$R$150,"&lt;&gt;Hoàn thành")</f>
        <v/>
      </c>
      <c r="N6" s="149" t="n"/>
      <c r="O6">
        <f>A16</f>
        <v/>
      </c>
      <c r="P6">
        <f>B16</f>
        <v/>
      </c>
      <c r="AB6">
        <f>TEAM!B10</f>
        <v/>
      </c>
      <c r="AC6">
        <f>TEAM!I10</f>
        <v/>
      </c>
      <c r="AD6">
        <f>TEAM!J10</f>
        <v/>
      </c>
      <c r="AE6">
        <f>TEAM!K10</f>
        <v/>
      </c>
      <c r="AF6" s="15">
        <f>TEAM!M10</f>
        <v/>
      </c>
    </row>
    <row r="7" ht="15" customHeight="1">
      <c r="A7" s="150" t="n"/>
      <c r="B7" s="151" t="n"/>
      <c r="C7" s="152" t="n"/>
      <c r="D7" s="151" t="n"/>
      <c r="E7" s="153" t="n"/>
      <c r="F7" s="151" t="n"/>
      <c r="G7" s="154" t="n"/>
      <c r="H7" s="151" t="n"/>
      <c r="I7" s="155" t="n"/>
      <c r="J7" s="151" t="n"/>
      <c r="K7" s="156" t="n"/>
      <c r="L7" s="151" t="n"/>
      <c r="M7" s="155" t="n"/>
      <c r="N7" s="151" t="n"/>
      <c r="O7">
        <f>A17</f>
        <v/>
      </c>
      <c r="P7">
        <f>B17</f>
        <v/>
      </c>
    </row>
    <row r="8" ht="19.5" customHeight="1">
      <c r="A8" s="107" t="inlineStr">
        <is>
          <t>Open scope</t>
        </is>
      </c>
      <c r="B8" s="157" t="n"/>
      <c r="C8" s="108" t="inlineStr">
        <is>
          <t>Overall</t>
        </is>
      </c>
      <c r="D8" s="157" t="n"/>
      <c r="E8" s="109" t="inlineStr">
        <is>
          <t>Active now</t>
        </is>
      </c>
      <c r="F8" s="157" t="n"/>
      <c r="G8" s="110" t="inlineStr">
        <is>
          <t>Overdue + blocked</t>
        </is>
      </c>
      <c r="H8" s="157" t="n"/>
      <c r="I8" s="111" t="inlineStr">
        <is>
          <t>Pending fix</t>
        </is>
      </c>
      <c r="J8" s="157" t="n"/>
      <c r="K8" s="112" t="inlineStr">
        <is>
          <t>Pending output</t>
        </is>
      </c>
      <c r="L8" s="157" t="n"/>
      <c r="M8" s="111" t="inlineStr">
        <is>
          <t>Need focus this week</t>
        </is>
      </c>
      <c r="N8" s="157" t="n"/>
    </row>
    <row r="10" ht="24" customHeight="1">
      <c r="A10" s="113" t="inlineStr">
        <is>
          <t>1) Tiến độ tổng thể</t>
        </is>
      </c>
      <c r="B10" s="158" t="n"/>
      <c r="C10" s="158" t="n"/>
      <c r="D10" s="158" t="n"/>
      <c r="E10" s="158" t="n"/>
      <c r="F10" s="157" t="n"/>
      <c r="G10" s="159" t="n"/>
      <c r="H10" s="160" t="n"/>
      <c r="I10" s="160" t="n"/>
      <c r="J10" s="160" t="n"/>
      <c r="K10" s="160" t="n"/>
      <c r="L10" s="160" t="n"/>
      <c r="M10" s="160" t="n"/>
      <c r="N10" s="160" t="n"/>
      <c r="O10" t="inlineStr">
        <is>
          <t>Thành viên</t>
        </is>
      </c>
      <c r="P10" t="inlineStr">
        <is>
          <t>Open</t>
        </is>
      </c>
      <c r="Q10" t="inlineStr">
        <is>
          <t>Due7</t>
        </is>
      </c>
      <c r="R10" t="inlineStr">
        <is>
          <t>AtRisk</t>
        </is>
      </c>
      <c r="S10" t="inlineStr">
        <is>
          <t>Done%</t>
        </is>
      </c>
    </row>
    <row r="11" ht="19.5" customHeight="1">
      <c r="A11" s="16" t="inlineStr">
        <is>
          <t>Trạng thái</t>
        </is>
      </c>
      <c r="B11" s="16" t="inlineStr">
        <is>
          <t>Số lượng</t>
        </is>
      </c>
      <c r="C11" s="16" t="inlineStr">
        <is>
          <t>Tỷ trọng</t>
        </is>
      </c>
      <c r="D11" s="17" t="n"/>
      <c r="E11" s="17" t="n"/>
      <c r="F11" s="17" t="n"/>
      <c r="O11">
        <f>TEAM!B6</f>
        <v/>
      </c>
      <c r="P11">
        <f>TEAM!I6</f>
        <v/>
      </c>
      <c r="Q11">
        <f>TEAM!J6</f>
        <v/>
      </c>
      <c r="R11">
        <f>TEAM!K6+TEAM!L6</f>
        <v/>
      </c>
      <c r="S11" s="15">
        <f>TEAM!M6</f>
        <v/>
      </c>
    </row>
    <row r="12" ht="19.5" customHeight="1">
      <c r="A12" s="18" t="inlineStr">
        <is>
          <t>Chưa bắt đầu</t>
        </is>
      </c>
      <c r="B12" s="19">
        <f>COUNTIFS(TASK_BOARD!$R$7:$R$150,$A12)</f>
        <v/>
      </c>
      <c r="C12" s="20">
        <f>IFERROR($B12/COUNTIF(TASK_BOARD!$A$7:$A$150,"&lt;&gt;"),0)</f>
        <v/>
      </c>
      <c r="D12" s="17" t="n"/>
      <c r="E12" s="17" t="n"/>
      <c r="F12" s="17" t="n"/>
      <c r="O12">
        <f>TEAM!B7</f>
        <v/>
      </c>
      <c r="P12">
        <f>TEAM!I7</f>
        <v/>
      </c>
      <c r="Q12">
        <f>TEAM!J7</f>
        <v/>
      </c>
      <c r="R12">
        <f>TEAM!K7+TEAM!L7</f>
        <v/>
      </c>
      <c r="S12" s="15">
        <f>TEAM!M7</f>
        <v/>
      </c>
    </row>
    <row r="13" ht="15" customHeight="1">
      <c r="A13" s="21" t="inlineStr">
        <is>
          <t>Sắp đến hạn</t>
        </is>
      </c>
      <c r="B13" s="22">
        <f>COUNTIFS(TASK_BOARD!$R$7:$R$150,$A13)</f>
        <v/>
      </c>
      <c r="C13" s="23">
        <f>IFERROR($B13/COUNTIF(TASK_BOARD!$A$7:$A$150,"&lt;&gt;"),0)</f>
        <v/>
      </c>
      <c r="D13" s="17" t="n"/>
      <c r="E13" s="17" t="n"/>
      <c r="F13" s="17" t="n"/>
      <c r="O13">
        <f>TEAM!B8</f>
        <v/>
      </c>
      <c r="P13">
        <f>TEAM!I8</f>
        <v/>
      </c>
      <c r="Q13">
        <f>TEAM!J8</f>
        <v/>
      </c>
      <c r="R13">
        <f>TEAM!K8+TEAM!L8</f>
        <v/>
      </c>
      <c r="S13" s="15">
        <f>TEAM!M8</f>
        <v/>
      </c>
    </row>
    <row r="14" ht="15" customHeight="1">
      <c r="A14" s="24" t="inlineStr">
        <is>
          <t>Đang thực hiện</t>
        </is>
      </c>
      <c r="B14" s="25">
        <f>COUNTIFS(TASK_BOARD!$R$7:$R$150,$A14)</f>
        <v/>
      </c>
      <c r="C14" s="26">
        <f>IFERROR($B14/COUNTIF(TASK_BOARD!$A$7:$A$150,"&lt;&gt;"),0)</f>
        <v/>
      </c>
      <c r="D14" s="17" t="n"/>
      <c r="E14" s="17" t="n"/>
      <c r="F14" s="17" t="n"/>
      <c r="O14">
        <f>TEAM!B9</f>
        <v/>
      </c>
      <c r="P14">
        <f>TEAM!I9</f>
        <v/>
      </c>
      <c r="Q14">
        <f>TEAM!J9</f>
        <v/>
      </c>
      <c r="R14">
        <f>TEAM!K9+TEAM!L9</f>
        <v/>
      </c>
      <c r="S14" s="15">
        <f>TEAM!M9</f>
        <v/>
      </c>
    </row>
    <row r="15" ht="15" customHeight="1">
      <c r="A15" s="27" t="inlineStr">
        <is>
          <t>Hoàn thành</t>
        </is>
      </c>
      <c r="B15" s="28">
        <f>COUNTIFS(TASK_BOARD!$R$7:$R$150,$A15)</f>
        <v/>
      </c>
      <c r="C15" s="29">
        <f>IFERROR($B15/COUNTIF(TASK_BOARD!$A$7:$A$150,"&lt;&gt;"),0)</f>
        <v/>
      </c>
      <c r="D15" s="17" t="n"/>
      <c r="E15" s="17" t="n"/>
      <c r="F15" s="17" t="n"/>
      <c r="O15">
        <f>TEAM!B10</f>
        <v/>
      </c>
      <c r="P15">
        <f>TEAM!I10</f>
        <v/>
      </c>
      <c r="Q15">
        <f>TEAM!J10</f>
        <v/>
      </c>
      <c r="R15">
        <f>TEAM!K10+TEAM!L10</f>
        <v/>
      </c>
      <c r="S15" s="15">
        <f>TEAM!M10</f>
        <v/>
      </c>
    </row>
    <row r="16" ht="15" customHeight="1">
      <c r="A16" s="30" t="inlineStr">
        <is>
          <t>Trễ hạn</t>
        </is>
      </c>
      <c r="B16" s="31">
        <f>COUNTIFS(TASK_BOARD!$R$7:$R$150,$A16)</f>
        <v/>
      </c>
      <c r="C16" s="32">
        <f>IFERROR($B16/COUNTIF(TASK_BOARD!$A$7:$A$150,"&lt;&gt;"),0)</f>
        <v/>
      </c>
      <c r="D16" s="17" t="n"/>
      <c r="E16" s="17" t="n"/>
      <c r="F16" s="17" t="n"/>
    </row>
    <row r="17" ht="15" customHeight="1">
      <c r="A17" s="33" t="inlineStr">
        <is>
          <t>Blocked</t>
        </is>
      </c>
      <c r="B17" s="34">
        <f>COUNTIFS(TASK_BOARD!$R$7:$R$150,$A17)</f>
        <v/>
      </c>
      <c r="C17" s="35">
        <f>IFERROR($B17/COUNTIF(TASK_BOARD!$A$7:$A$150,"&lt;&gt;"),0)</f>
        <v/>
      </c>
      <c r="D17" s="17" t="n"/>
      <c r="E17" s="17" t="n"/>
      <c r="F17" s="17" t="n"/>
    </row>
    <row r="18" ht="15" customHeight="1">
      <c r="A18" s="161" t="n"/>
      <c r="B18" s="160" t="n"/>
      <c r="C18" s="160" t="n"/>
      <c r="D18" s="17" t="n"/>
      <c r="E18" s="17" t="n"/>
      <c r="F18" s="17" t="n"/>
    </row>
    <row r="19" ht="21.75" customHeight="1">
      <c r="D19" s="136" t="n"/>
      <c r="E19" s="136" t="n"/>
      <c r="F19" s="136" t="n"/>
    </row>
    <row r="20" ht="15" customHeight="1">
      <c r="D20" s="17" t="n"/>
      <c r="E20" s="17" t="n"/>
      <c r="F20" s="17" t="n"/>
    </row>
    <row r="21" ht="15" customHeight="1">
      <c r="D21" s="17" t="n"/>
      <c r="E21" s="17" t="n"/>
      <c r="F21" s="17" t="n"/>
    </row>
    <row r="22" ht="15" customHeight="1">
      <c r="D22" s="17" t="n"/>
      <c r="E22" s="17" t="n"/>
      <c r="F22" s="17" t="n"/>
    </row>
    <row r="23">
      <c r="A23" s="162" t="n"/>
      <c r="B23" s="162" t="n"/>
      <c r="C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</row>
    <row r="24" ht="23.15" customHeight="1">
      <c r="A24" s="114" t="inlineStr">
        <is>
          <t>3) Watchlist 7 ngày</t>
        </is>
      </c>
      <c r="B24" s="158" t="n"/>
      <c r="C24" s="158" t="n"/>
      <c r="D24" s="158" t="n"/>
      <c r="E24" s="158" t="n"/>
      <c r="F24" s="158" t="n"/>
      <c r="G24" s="158" t="n"/>
      <c r="H24" s="157" t="n"/>
      <c r="I24" s="115" t="inlineStr">
        <is>
          <t>4) Leader next actions</t>
        </is>
      </c>
      <c r="J24" s="158" t="n"/>
      <c r="K24" s="158" t="n"/>
      <c r="L24" s="158" t="n"/>
      <c r="M24" s="158" t="n"/>
      <c r="N24" s="157" t="n"/>
    </row>
    <row r="25" ht="22.75" customHeight="1">
      <c r="A25" s="36" t="inlineStr">
        <is>
          <t>ID</t>
        </is>
      </c>
      <c r="B25" s="36" t="inlineStr">
        <is>
          <t>Deliverable</t>
        </is>
      </c>
      <c r="C25" s="36" t="inlineStr">
        <is>
          <t>Owner</t>
        </is>
      </c>
      <c r="D25" s="36" t="inlineStr">
        <is>
          <t>Due</t>
        </is>
      </c>
      <c r="E25" s="36" t="inlineStr">
        <is>
          <t>Status</t>
        </is>
      </c>
      <c r="F25" s="36" t="inlineStr">
        <is>
          <t>%</t>
        </is>
      </c>
      <c r="G25" s="36" t="inlineStr">
        <is>
          <t>Reviewer</t>
        </is>
      </c>
      <c r="H25" s="36" t="inlineStr">
        <is>
          <t>Next step</t>
        </is>
      </c>
      <c r="I25" s="37" t="inlineStr">
        <is>
          <t>Ưu tiên</t>
        </is>
      </c>
      <c r="J25" s="37" t="inlineStr">
        <is>
          <t>Count</t>
        </is>
      </c>
      <c r="K25" s="37" t="inlineStr">
        <is>
          <t>Ngưỡng</t>
        </is>
      </c>
      <c r="L25" s="37" t="inlineStr">
        <is>
          <t>Owner</t>
        </is>
      </c>
      <c r="M25" s="37" t="inlineStr">
        <is>
          <t>Hành động</t>
        </is>
      </c>
    </row>
    <row r="26" ht="24.9" customHeight="1">
      <c r="A26" s="38">
        <f>DELIVERABLES!A7</f>
        <v/>
      </c>
      <c r="B26" s="39">
        <f>DELIVERABLES!B7</f>
        <v/>
      </c>
      <c r="C26" s="38">
        <f>DELIVERABLES!C7</f>
        <v/>
      </c>
      <c r="D26" s="40">
        <f>DELIVERABLES!D7</f>
        <v/>
      </c>
      <c r="E26" s="38">
        <f>DELIVERABLES!G7</f>
        <v/>
      </c>
      <c r="F26" s="41">
        <f>DELIVERABLES!H7</f>
        <v/>
      </c>
      <c r="G26" s="38">
        <f>DELIVERABLES!J7</f>
        <v/>
      </c>
      <c r="H26" s="38">
        <f>IF(E26="Hoàn thành","Keep closed",IF(D26&lt;CONFIG!$B$5,"Escalate today",IF(D26&lt;=CONFIG!$B$5+7,"Push this week","Monitor")))</f>
        <v/>
      </c>
      <c r="I26" s="39" t="inlineStr">
        <is>
          <t>Task blocked</t>
        </is>
      </c>
      <c r="J26" s="38">
        <f>COUNTIFS(TASK_BOARD!$Q$7:$Q$150,"Có")</f>
        <v/>
      </c>
      <c r="K26" s="38" t="inlineStr">
        <is>
          <t>&gt;0</t>
        </is>
      </c>
      <c r="L26" s="38">
        <f>IFERROR(VLOOKUP("TV1",TEAM!$A$6:$B$10,2,0),"TV1")</f>
        <v/>
      </c>
      <c r="M26" s="39" t="inlineStr">
        <is>
          <t>Gỡ blocker / reassign</t>
        </is>
      </c>
    </row>
    <row r="27" ht="24.9" customHeight="1">
      <c r="A27" s="38">
        <f>DELIVERABLES!A8</f>
        <v/>
      </c>
      <c r="B27" s="39">
        <f>DELIVERABLES!B8</f>
        <v/>
      </c>
      <c r="C27" s="38">
        <f>DELIVERABLES!C8</f>
        <v/>
      </c>
      <c r="D27" s="40">
        <f>DELIVERABLES!D8</f>
        <v/>
      </c>
      <c r="E27" s="38">
        <f>DELIVERABLES!G8</f>
        <v/>
      </c>
      <c r="F27" s="41">
        <f>DELIVERABLES!H8</f>
        <v/>
      </c>
      <c r="G27" s="38">
        <f>DELIVERABLES!J8</f>
        <v/>
      </c>
      <c r="H27" s="38">
        <f>IF(E27="Hoàn thành","Keep closed",IF(D27&lt;CONFIG!$B$5,"Escalate today",IF(D27&lt;=CONFIG!$B$5+7,"Push this week","Monitor")))</f>
        <v/>
      </c>
      <c r="I27" s="39" t="inlineStr">
        <is>
          <t>Issue chưa đóng</t>
        </is>
      </c>
      <c r="J27" s="38">
        <f>COUNTIFS(ISSUE_FEEDBACK_LOG!$L$7:$L$80,"Open",ISSUE_FEEDBACK_LOG!$A$7:$A$80,"&lt;&gt;")+COUNTIFS(ISSUE_FEEDBACK_LOG!$L$7:$L$80,"In Review",ISSUE_FEEDBACK_LOG!$A$7:$A$80,"&lt;&gt;")</f>
        <v/>
      </c>
      <c r="K27" s="38" t="inlineStr">
        <is>
          <t>&gt;0</t>
        </is>
      </c>
      <c r="L27" s="38">
        <f>IFERROR(VLOOKUP("TV1",TEAM!$A$6:$B$10,2,0),"TV1")</f>
        <v/>
      </c>
      <c r="M27" s="39" t="inlineStr">
        <is>
          <t>Review và fix owner</t>
        </is>
      </c>
    </row>
    <row r="28" ht="24.9" customHeight="1">
      <c r="A28" s="38">
        <f>DELIVERABLES!A9</f>
        <v/>
      </c>
      <c r="B28" s="39">
        <f>DELIVERABLES!B9</f>
        <v/>
      </c>
      <c r="C28" s="38">
        <f>DELIVERABLES!C9</f>
        <v/>
      </c>
      <c r="D28" s="40">
        <f>DELIVERABLES!D9</f>
        <v/>
      </c>
      <c r="E28" s="38">
        <f>DELIVERABLES!G9</f>
        <v/>
      </c>
      <c r="F28" s="41">
        <f>DELIVERABLES!H9</f>
        <v/>
      </c>
      <c r="G28" s="38">
        <f>DELIVERABLES!J9</f>
        <v/>
      </c>
      <c r="H28" s="38">
        <f>IF(E28="Hoàn thành","Keep closed",IF(D28&lt;CONFIG!$B$5,"Escalate today",IF(D28&lt;=CONFIG!$B$5+7,"Push this week","Monitor")))</f>
        <v/>
      </c>
      <c r="I28" s="39" t="inlineStr">
        <is>
          <t>Task due ≤ 7d</t>
        </is>
      </c>
      <c r="J28" s="38">
        <f>COUNTIFS(TASK_BOARD!$K$7:$K$150,"&gt;="&amp;CONFIG!$B$5,TASK_BOARD!$K$7:$K$150,"&lt;="&amp;CONFIG!$B$5+7,TASK_BOARD!$R$7:$R$150,"&lt;&gt;Hoàn thành")</f>
        <v/>
      </c>
      <c r="K28" s="38" t="inlineStr">
        <is>
          <t>&gt;3</t>
        </is>
      </c>
      <c r="L28" s="38">
        <f>IFERROR(VLOOKUP("TV1",TEAM!$A$6:$B$10,2,0),"TV1")</f>
        <v/>
      </c>
      <c r="M28" s="39" t="inlineStr">
        <is>
          <t>Ưu tiên milestone gần</t>
        </is>
      </c>
    </row>
    <row r="29" ht="24.9" customHeight="1">
      <c r="A29" s="38">
        <f>DELIVERABLES!A10</f>
        <v/>
      </c>
      <c r="B29" s="39">
        <f>DELIVERABLES!B10</f>
        <v/>
      </c>
      <c r="C29" s="38">
        <f>DELIVERABLES!C10</f>
        <v/>
      </c>
      <c r="D29" s="40">
        <f>DELIVERABLES!D10</f>
        <v/>
      </c>
      <c r="E29" s="38">
        <f>DELIVERABLES!G10</f>
        <v/>
      </c>
      <c r="F29" s="41">
        <f>DELIVERABLES!H10</f>
        <v/>
      </c>
      <c r="G29" s="38">
        <f>DELIVERABLES!J10</f>
        <v/>
      </c>
      <c r="H29" s="38">
        <f>IF(E29="Hoàn thành","Keep closed",IF(D29&lt;CONFIG!$B$5,"Escalate today",IF(D29&lt;=CONFIG!$B$5+7,"Push this week","Monitor")))</f>
        <v/>
      </c>
      <c r="I29" s="39" t="inlineStr">
        <is>
          <t>Deliverable due ≤ 7d</t>
        </is>
      </c>
      <c r="J29" s="38">
        <f>COUNTIFS(DELIVERABLES!$D$7:$D$30,"&gt;="&amp;CONFIG!$B$5,DELIVERABLES!$D$7:$D$30,"&lt;="&amp;CONFIG!$B$5+7,DELIVERABLES!$G$7:$G$30,"&lt;&gt;Hoàn thành")</f>
        <v/>
      </c>
      <c r="K29" s="38" t="inlineStr">
        <is>
          <t>&gt;0</t>
        </is>
      </c>
      <c r="L29" s="38">
        <f>IFERROR(VLOOKUP("TV5",TEAM!$A$6:$B$10,2,0),"TV5")</f>
        <v/>
      </c>
      <c r="M29" s="39" t="inlineStr">
        <is>
          <t>Theo dõi bàn giao</t>
        </is>
      </c>
    </row>
    <row r="30" ht="24.9" customHeight="1">
      <c r="A30" s="38">
        <f>DELIVERABLES!A11</f>
        <v/>
      </c>
      <c r="B30" s="39">
        <f>DELIVERABLES!B11</f>
        <v/>
      </c>
      <c r="C30" s="38">
        <f>DELIVERABLES!C11</f>
        <v/>
      </c>
      <c r="D30" s="40">
        <f>DELIVERABLES!D11</f>
        <v/>
      </c>
      <c r="E30" s="38">
        <f>DELIVERABLES!G11</f>
        <v/>
      </c>
      <c r="F30" s="41">
        <f>DELIVERABLES!H11</f>
        <v/>
      </c>
      <c r="G30" s="38">
        <f>DELIVERABLES!J11</f>
        <v/>
      </c>
      <c r="H30" s="38">
        <f>IF(E30="Hoàn thành","Keep closed",IF(D30&lt;CONFIG!$B$5,"Escalate today",IF(D30&lt;=CONFIG!$B$5+7,"Push this week","Monitor")))</f>
        <v/>
      </c>
      <c r="I30" s="39" t="inlineStr">
        <is>
          <t>Action họp chưa xong</t>
        </is>
      </c>
      <c r="J30" s="38">
        <f>COUNTIFS(MEETING_LOG!$J$7:$J$50,"&lt;&gt;Done",MEETING_LOG!$A$7:$A$50,"&lt;&gt;")</f>
        <v/>
      </c>
      <c r="K30" s="38" t="inlineStr">
        <is>
          <t>&gt;0</t>
        </is>
      </c>
      <c r="L30" s="38">
        <f>IFERROR(VLOOKUP("TV1",TEAM!$A$6:$B$10,2,0),"TV1")</f>
        <v/>
      </c>
      <c r="M30" s="39" t="inlineStr">
        <is>
          <t>Chốt owner / due</t>
        </is>
      </c>
    </row>
    <row r="31" ht="39.75" customHeight="1">
      <c r="A31" s="38">
        <f>DELIVERABLES!A12</f>
        <v/>
      </c>
      <c r="B31" s="39">
        <f>DELIVERABLES!B12</f>
        <v/>
      </c>
      <c r="C31" s="38">
        <f>DELIVERABLES!C12</f>
        <v/>
      </c>
      <c r="D31" s="40">
        <f>DELIVERABLES!D12</f>
        <v/>
      </c>
      <c r="E31" s="38">
        <f>DELIVERABLES!G12</f>
        <v/>
      </c>
      <c r="F31" s="41">
        <f>DELIVERABLES!H12</f>
        <v/>
      </c>
      <c r="G31" s="38">
        <f>DELIVERABLES!J12</f>
        <v/>
      </c>
      <c r="H31" s="38">
        <f>IF(E31="Hoàn thành","Keep closed",IF(D31&lt;CONFIG!$B$5,"Escalate today",IF(D31&lt;=CONFIG!$B$5+7,"Push this week","Monitor")))</f>
        <v/>
      </c>
      <c r="I31" s="116" t="n"/>
      <c r="J31" s="160" t="n"/>
      <c r="K31" s="160" t="n"/>
      <c r="L31" s="160" t="n"/>
      <c r="M31" s="149" t="n"/>
    </row>
    <row r="32" ht="21.75" customHeight="1">
      <c r="A32" s="117" t="n"/>
      <c r="B32" s="158" t="n"/>
      <c r="C32" s="158" t="n"/>
      <c r="D32" s="158" t="n"/>
      <c r="E32" s="158" t="n"/>
      <c r="F32" s="158" t="n"/>
      <c r="G32" s="158" t="n"/>
      <c r="H32" s="157" t="n"/>
      <c r="I32" s="163" t="n"/>
      <c r="J32" s="162" t="n"/>
      <c r="K32" s="162" t="n"/>
      <c r="L32" s="162" t="n"/>
      <c r="M32" s="151" t="n"/>
    </row>
  </sheetData>
  <mergeCells count="30">
    <mergeCell ref="E6:F7"/>
    <mergeCell ref="G6:H7"/>
    <mergeCell ref="M6:N7"/>
    <mergeCell ref="A24:H24"/>
    <mergeCell ref="C5:D5"/>
    <mergeCell ref="E5:F5"/>
    <mergeCell ref="K5:L5"/>
    <mergeCell ref="M5:N5"/>
    <mergeCell ref="G8:H8"/>
    <mergeCell ref="E8:F8"/>
    <mergeCell ref="A1:N1"/>
    <mergeCell ref="I24:N24"/>
    <mergeCell ref="G10:N23"/>
    <mergeCell ref="I31:M32"/>
    <mergeCell ref="A10:F10"/>
    <mergeCell ref="C6:D7"/>
    <mergeCell ref="K8:L8"/>
    <mergeCell ref="I6:J7"/>
    <mergeCell ref="K6:L7"/>
    <mergeCell ref="A2:N2"/>
    <mergeCell ref="A5:B5"/>
    <mergeCell ref="G5:H5"/>
    <mergeCell ref="I5:J5"/>
    <mergeCell ref="I8:J8"/>
    <mergeCell ref="A32:H32"/>
    <mergeCell ref="A8:B8"/>
    <mergeCell ref="M8:N8"/>
    <mergeCell ref="C8:D8"/>
    <mergeCell ref="A18:C23"/>
    <mergeCell ref="A6:B7"/>
  </mergeCells>
  <conditionalFormatting sqref="A26:H31">
    <cfRule type="expression" priority="2" dxfId="51">
      <formula>$E26="Hoàn thành"</formula>
    </cfRule>
    <cfRule type="expression" priority="3" dxfId="50">
      <formula>OR($E26="Trễ hạn",$E26="Blocked")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W150"/>
  <sheetViews>
    <sheetView showGridLines="0" zoomScale="80" zoomScaleNormal="10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J11" sqref="J11"/>
    </sheetView>
  </sheetViews>
  <sheetFormatPr baseColWidth="8" defaultColWidth="8.69140625" defaultRowHeight="12.45"/>
  <cols>
    <col width="6" customWidth="1" min="1" max="2"/>
    <col width="20" customWidth="1" min="3" max="3"/>
    <col width="14" customWidth="1" min="4" max="4"/>
    <col width="38" customWidth="1" min="5" max="5"/>
    <col width="30" customWidth="1" min="6" max="6"/>
    <col width="6" customWidth="1" min="7" max="9"/>
    <col width="9" customWidth="1" min="10" max="13"/>
    <col width="10" customWidth="1" min="14" max="14"/>
    <col width="11" customWidth="1" min="15" max="16"/>
    <col width="8" customWidth="1" min="17" max="17"/>
    <col width="16" customWidth="1" min="18" max="18"/>
    <col hidden="1" width="8" customWidth="1" min="19" max="19"/>
    <col width="14" customWidth="1" min="20" max="20"/>
    <col width="28" customWidth="1" min="21" max="21"/>
    <col width="20" customWidth="1" min="22" max="22"/>
    <col width="24" customWidth="1" min="23" max="23"/>
  </cols>
  <sheetData>
    <row r="1" ht="21.75" customHeight="1">
      <c r="A1" s="118" t="inlineStr">
        <is>
          <t>TASK BOARD | Nơi cập nhật tiến độ duy nhất cho cả nhóm</t>
        </is>
      </c>
    </row>
    <row r="2" ht="15" customHeight="1">
      <c r="A2" s="119" t="inlineStr">
        <is>
          <t>Chỉ cập nhật các cột nền xanh: Start Actual, Done Actual, % Complete, Last Update, Blocked?, Next Action, Output Link, Notes. Status và Health tự tính theo Report Date.</t>
        </is>
      </c>
    </row>
    <row r="3" ht="15" customHeight="1">
      <c r="A3" s="42" t="inlineStr">
        <is>
          <t>Tên thành viên:</t>
        </is>
      </c>
      <c r="B3" s="42">
        <f>TEAM!A6&amp;" = "&amp;TEAM!B6</f>
        <v/>
      </c>
      <c r="C3" s="42">
        <f>TEAM!A7&amp;" = "&amp;TEAM!B7</f>
        <v/>
      </c>
      <c r="D3" s="42">
        <f>TEAM!A8&amp;" = "&amp;TEAM!B8</f>
        <v/>
      </c>
      <c r="E3" s="42">
        <f>TEAM!A9&amp;" = "&amp;TEAM!B9</f>
        <v/>
      </c>
      <c r="F3" s="42">
        <f>TEAM!A10&amp;" = "&amp;TEAM!B10</f>
        <v/>
      </c>
    </row>
    <row r="4" ht="15" customHeight="1">
      <c r="A4" s="43" t="inlineStr">
        <is>
          <t>Legend</t>
        </is>
      </c>
      <c r="B4" s="44" t="inlineStr">
        <is>
          <t>Xanh: cập nhật</t>
        </is>
      </c>
      <c r="C4" s="44" t="inlineStr">
        <is>
          <t>Xám: tự tính</t>
        </is>
      </c>
      <c r="D4" s="44" t="inlineStr">
        <is>
          <t>Đỏ: trễ / blocked</t>
        </is>
      </c>
      <c r="E4" s="44" t="inlineStr">
        <is>
          <t>Vàng: sắp đến hạn</t>
        </is>
      </c>
    </row>
    <row r="6" ht="31.5" customHeight="1">
      <c r="A6" s="45" t="inlineStr">
        <is>
          <t>ID</t>
        </is>
      </c>
      <c r="B6" s="45" t="inlineStr">
        <is>
          <t>Tuần</t>
        </is>
      </c>
      <c r="C6" s="45" t="inlineStr">
        <is>
          <t>Giai đoạn</t>
        </is>
      </c>
      <c r="D6" s="45" t="inlineStr">
        <is>
          <t>Workstream</t>
        </is>
      </c>
      <c r="E6" s="45" t="inlineStr">
        <is>
          <t>Nhiệm vụ</t>
        </is>
      </c>
      <c r="F6" s="45" t="inlineStr">
        <is>
          <t>Deliverable</t>
        </is>
      </c>
      <c r="G6" s="45" t="inlineStr">
        <is>
          <t>Owner</t>
        </is>
      </c>
      <c r="H6" s="45" t="inlineStr">
        <is>
          <t>Support</t>
        </is>
      </c>
      <c r="I6" s="45" t="inlineStr">
        <is>
          <t>Reviewer</t>
        </is>
      </c>
      <c r="J6" s="45" t="inlineStr">
        <is>
          <t>Start Plan</t>
        </is>
      </c>
      <c r="K6" s="45" t="inlineStr">
        <is>
          <t>Due Plan</t>
        </is>
      </c>
      <c r="L6" s="45" t="inlineStr">
        <is>
          <t>Start Actual</t>
        </is>
      </c>
      <c r="M6" s="45" t="inlineStr">
        <is>
          <t>Done Actual</t>
        </is>
      </c>
      <c r="N6" s="45" t="inlineStr">
        <is>
          <t>Priority</t>
        </is>
      </c>
      <c r="O6" s="45" t="inlineStr">
        <is>
          <t>% Complete</t>
        </is>
      </c>
      <c r="P6" s="45" t="inlineStr">
        <is>
          <t>Last Update</t>
        </is>
      </c>
      <c r="Q6" s="45" t="inlineStr">
        <is>
          <t>Blocked?</t>
        </is>
      </c>
      <c r="R6" s="45" t="inlineStr">
        <is>
          <t>Status</t>
        </is>
      </c>
      <c r="S6" s="45" t="n"/>
      <c r="T6" s="45" t="inlineStr">
        <is>
          <t>Dependency</t>
        </is>
      </c>
      <c r="U6" s="45" t="inlineStr">
        <is>
          <t>Next Action</t>
        </is>
      </c>
      <c r="V6" s="45" t="inlineStr">
        <is>
          <t>Output Link</t>
        </is>
      </c>
      <c r="W6" s="45" t="inlineStr">
        <is>
          <t>Notes</t>
        </is>
      </c>
    </row>
    <row r="7" ht="25.75" customHeight="1">
      <c r="A7" s="187" t="inlineStr">
        <is>
          <t>T01</t>
        </is>
      </c>
      <c r="B7" s="187" t="inlineStr">
        <is>
          <t>W1</t>
        </is>
      </c>
      <c r="C7" s="187" t="inlineStr">
        <is>
          <t>1. Kickoff &amp; Proposal</t>
        </is>
      </c>
      <c r="D7" s="187" t="inlineStr">
        <is>
          <t>Governance</t>
        </is>
      </c>
      <c r="E7" s="188" t="inlineStr">
        <is>
          <t>Kickoff nhóm, chốt scope và vai trò</t>
        </is>
      </c>
      <c r="F7" s="188" t="inlineStr">
        <is>
          <t>Project charter + phân vai</t>
        </is>
      </c>
      <c r="G7" s="187" t="inlineStr">
        <is>
          <t>TV1</t>
        </is>
      </c>
      <c r="H7" s="187" t="inlineStr">
        <is>
          <t>TV5</t>
        </is>
      </c>
      <c r="I7" s="187" t="inlineStr">
        <is>
          <t>TV5</t>
        </is>
      </c>
      <c r="J7" s="189" t="n">
        <v>46097</v>
      </c>
      <c r="K7" s="189" t="n">
        <v>46097</v>
      </c>
      <c r="L7" s="189" t="n">
        <v>46097</v>
      </c>
      <c r="M7" s="189" t="n">
        <v>46097</v>
      </c>
      <c r="N7" s="187" t="inlineStr">
        <is>
          <t>Cao</t>
        </is>
      </c>
      <c r="O7" s="190" t="n">
        <v>1</v>
      </c>
      <c r="P7" s="189" t="n">
        <v>46097</v>
      </c>
      <c r="Q7" s="187" t="inlineStr">
        <is>
          <t>Không</t>
        </is>
      </c>
      <c r="R7" s="191">
        <f>IF($A7="","",IF($Q7="Có","Blocked",IF(OR($O7&gt;=1,$M7&lt;&gt;""),"Hoàn thành",IF(AND($K7&lt;CONFIG!$B$5,$A7&lt;&gt;""),"Trễ hạn",IF(AND($K7-CONFIG!$B$5&lt;=2,$K7&gt;=CONFIG!$B$5),"Sắp đến hạn",IF(OR($L7&lt;&gt;"",$O7&gt;0),"Đang thực hiện","Chưa bắt đầu"))))))</f>
        <v/>
      </c>
      <c r="S7" s="191" t="n"/>
      <c r="T7" s="188" t="n"/>
      <c r="U7" s="188" t="inlineStr">
        <is>
          <t>Đã thống nhất</t>
        </is>
      </c>
      <c r="V7" s="188" t="n"/>
      <c r="W7" s="47" t="inlineStr">
        <is>
          <t>Scope, roles, cadence approved</t>
        </is>
      </c>
    </row>
    <row r="8" ht="12.9" customHeight="1">
      <c r="A8" s="187" t="inlineStr">
        <is>
          <t>T02</t>
        </is>
      </c>
      <c r="B8" s="187" t="inlineStr">
        <is>
          <t>W1</t>
        </is>
      </c>
      <c r="C8" s="187" t="inlineStr">
        <is>
          <t>1. Kickoff &amp; Proposal</t>
        </is>
      </c>
      <c r="D8" s="187" t="inlineStr">
        <is>
          <t>Research</t>
        </is>
      </c>
      <c r="E8" s="188" t="inlineStr">
        <is>
          <t>Hoàn thiện proposal học thuật 10 trang</t>
        </is>
      </c>
      <c r="F8" s="188" t="inlineStr">
        <is>
          <t>Proposal PDF + LaTeX</t>
        </is>
      </c>
      <c r="G8" s="187" t="inlineStr">
        <is>
          <t>TV1</t>
        </is>
      </c>
      <c r="H8" s="187" t="inlineStr">
        <is>
          <t>TV5</t>
        </is>
      </c>
      <c r="I8" s="187" t="inlineStr">
        <is>
          <t>TV4</t>
        </is>
      </c>
      <c r="J8" s="189" t="n">
        <v>46102</v>
      </c>
      <c r="K8" s="189" t="n">
        <v>46106</v>
      </c>
      <c r="L8" s="189" t="n"/>
      <c r="M8" s="189" t="n"/>
      <c r="N8" s="187" t="inlineStr">
        <is>
          <t>Cao</t>
        </is>
      </c>
      <c r="O8" s="190" t="n">
        <v>0</v>
      </c>
      <c r="P8" s="189" t="n"/>
      <c r="Q8" s="187" t="inlineStr">
        <is>
          <t>Không</t>
        </is>
      </c>
      <c r="R8" s="191">
        <f>IF($A8="","",IF($Q8="Có","Blocked",IF(OR($O8&gt;=1,$M8&lt;&gt;""),"Hoàn thành",IF(AND($K8&lt;CONFIG!$B$5,$A8&lt;&gt;""),"Trễ hạn",IF(AND($K8-CONFIG!$B$5&lt;=2,$K8&gt;=CONFIG!$B$5),"Sắp đến hạn",IF(OR($L8&lt;&gt;"",$O8&gt;0),"Đang thực hiện","Chưa bắt đầu"))))))</f>
        <v/>
      </c>
      <c r="S8" s="191" t="n"/>
      <c r="T8" s="188" t="inlineStr">
        <is>
          <t>T01</t>
        </is>
      </c>
      <c r="U8" s="188" t="inlineStr">
        <is>
          <t>Chốt góp ý cuối với nhóm</t>
        </is>
      </c>
      <c r="V8" s="188" t="n"/>
      <c r="W8" s="54" t="inlineStr">
        <is>
          <t>Finalize theo format giảng viên</t>
        </is>
      </c>
    </row>
    <row r="9" ht="18" customHeight="1">
      <c r="A9" s="187" t="inlineStr">
        <is>
          <t>T03</t>
        </is>
      </c>
      <c r="B9" s="187" t="inlineStr">
        <is>
          <t>W1</t>
        </is>
      </c>
      <c r="C9" s="187" t="inlineStr">
        <is>
          <t>1. Kickoff &amp; Proposal</t>
        </is>
      </c>
      <c r="D9" s="187" t="inlineStr">
        <is>
          <t>PMO</t>
        </is>
      </c>
      <c r="E9" s="188" t="inlineStr">
        <is>
          <t>Thiết lập repo, folder, tracker và cadence họp</t>
        </is>
      </c>
      <c r="F9" s="188" t="inlineStr">
        <is>
          <t>Repo structure + tracker + calendar</t>
        </is>
      </c>
      <c r="G9" s="187" t="inlineStr">
        <is>
          <t>TV5</t>
        </is>
      </c>
      <c r="H9" s="187" t="inlineStr">
        <is>
          <t>TV1</t>
        </is>
      </c>
      <c r="I9" s="187" t="inlineStr">
        <is>
          <t>TV4</t>
        </is>
      </c>
      <c r="J9" s="189" t="n">
        <v>46102</v>
      </c>
      <c r="K9" s="189" t="n">
        <v>46106</v>
      </c>
      <c r="L9" s="189" t="n"/>
      <c r="M9" s="189" t="n"/>
      <c r="N9" s="187" t="inlineStr">
        <is>
          <t>Trung bình</t>
        </is>
      </c>
      <c r="O9" s="190" t="n">
        <v>0</v>
      </c>
      <c r="P9" s="189" t="n"/>
      <c r="Q9" s="187" t="inlineStr">
        <is>
          <t>Không</t>
        </is>
      </c>
      <c r="R9" s="191">
        <f>IF($A9="","",IF($Q9="Có","Blocked",IF(OR($O9&gt;=1,$M9&lt;&gt;""),"Hoàn thành",IF(AND($K9&lt;CONFIG!$B$5,$A9&lt;&gt;""),"Trễ hạn",IF(AND($K9-CONFIG!$B$5&lt;=2,$K9&gt;=CONFIG!$B$5),"Sắp đến hạn",IF(OR($L9&lt;&gt;"",$O9&gt;0),"Đang thực hiện","Chưa bắt đầu"))))))</f>
        <v/>
      </c>
      <c r="S9" s="191" t="n"/>
      <c r="T9" s="188" t="inlineStr">
        <is>
          <t>T01</t>
        </is>
      </c>
      <c r="U9" s="188" t="inlineStr">
        <is>
          <t>Mở template meeting note</t>
        </is>
      </c>
      <c r="V9" s="188" t="n"/>
      <c r="W9" s="47" t="inlineStr">
        <is>
          <t>Ưu tiên paper 3 năm gần đây</t>
        </is>
      </c>
    </row>
    <row r="10" ht="18" customHeight="1">
      <c r="A10" s="187" t="inlineStr">
        <is>
          <t>T04</t>
        </is>
      </c>
      <c r="B10" s="187" t="inlineStr">
        <is>
          <t>W1</t>
        </is>
      </c>
      <c r="C10" s="187" t="inlineStr">
        <is>
          <t>2. Literature &amp; Research</t>
        </is>
      </c>
      <c r="D10" s="187" t="inlineStr">
        <is>
          <t>Research</t>
        </is>
      </c>
      <c r="E10" s="188" t="inlineStr">
        <is>
          <t>Lập ma trận tài liệu 15-20 bài chính</t>
        </is>
      </c>
      <c r="F10" s="188" t="inlineStr">
        <is>
          <t>Literature matrix + keyword plan</t>
        </is>
      </c>
      <c r="G10" s="187" t="inlineStr">
        <is>
          <t>TV1</t>
        </is>
      </c>
      <c r="H10" s="187" t="inlineStr">
        <is>
          <t>TV4</t>
        </is>
      </c>
      <c r="I10" s="187" t="inlineStr">
        <is>
          <t>TV5</t>
        </is>
      </c>
      <c r="J10" s="189" t="n">
        <v>46102</v>
      </c>
      <c r="K10" s="189" t="n">
        <v>46106</v>
      </c>
      <c r="L10" s="189" t="n"/>
      <c r="M10" s="189" t="n"/>
      <c r="N10" s="187" t="inlineStr">
        <is>
          <t>Cao</t>
        </is>
      </c>
      <c r="O10" s="190" t="n">
        <v>0</v>
      </c>
      <c r="P10" s="189" t="n"/>
      <c r="Q10" s="187" t="inlineStr">
        <is>
          <t>Không</t>
        </is>
      </c>
      <c r="R10" s="191">
        <f>IF($A10="","",IF($Q10="Có","Blocked",IF(OR($O10&gt;=1,$M10&lt;&gt;""),"Hoàn thành",IF(AND($K10&lt;CONFIG!$B$5,$A10&lt;&gt;""),"Trễ hạn",IF(AND($K10-CONFIG!$B$5&lt;=2,$K10&gt;=CONFIG!$B$5),"Sắp đến hạn",IF(OR($L10&lt;&gt;"",$O10&gt;0),"Đang thực hiện","Chưa bắt đầu"))))))</f>
        <v/>
      </c>
      <c r="S10" s="191" t="n"/>
      <c r="T10" s="188" t="inlineStr">
        <is>
          <t>T01</t>
        </is>
      </c>
      <c r="U10" s="188" t="inlineStr">
        <is>
          <t>Bổ sung benchmark và XAI</t>
        </is>
      </c>
      <c r="V10" s="188" t="n"/>
      <c r="W10" s="54" t="inlineStr">
        <is>
          <t>Leader review quyền truy cập</t>
        </is>
      </c>
    </row>
    <row r="11" ht="18" customHeight="1">
      <c r="A11" s="187" t="inlineStr">
        <is>
          <t>T05</t>
        </is>
      </c>
      <c r="B11" s="187" t="inlineStr">
        <is>
          <t>W2</t>
        </is>
      </c>
      <c r="C11" s="187" t="inlineStr">
        <is>
          <t>3. Data Understanding</t>
        </is>
      </c>
      <c r="D11" s="187" t="inlineStr">
        <is>
          <t>Data</t>
        </is>
      </c>
      <c r="E11" s="188" t="inlineStr">
        <is>
          <t>Audit dataset PaySim và data dictionary</t>
        </is>
      </c>
      <c r="F11" s="188" t="inlineStr">
        <is>
          <t>PaySim audit note + dictionary</t>
        </is>
      </c>
      <c r="G11" s="187" t="inlineStr">
        <is>
          <t>TV2</t>
        </is>
      </c>
      <c r="H11" s="187" t="inlineStr">
        <is>
          <t>TV1</t>
        </is>
      </c>
      <c r="I11" s="187" t="inlineStr">
        <is>
          <t>TV4</t>
        </is>
      </c>
      <c r="J11" s="189" t="n">
        <v>46104</v>
      </c>
      <c r="K11" s="189" t="n">
        <v>46108</v>
      </c>
      <c r="L11" s="189" t="n"/>
      <c r="M11" s="189" t="n"/>
      <c r="N11" s="187" t="inlineStr">
        <is>
          <t>Cao</t>
        </is>
      </c>
      <c r="O11" s="190" t="n">
        <v>0</v>
      </c>
      <c r="P11" s="189" t="n"/>
      <c r="Q11" s="187" t="inlineStr">
        <is>
          <t>Không</t>
        </is>
      </c>
      <c r="R11" s="191">
        <f>IF($A11="","",IF($Q11="Có","Blocked",IF(OR($O11&gt;=1,$M11&lt;&gt;""),"Hoàn thành",IF(AND($K11&lt;CONFIG!$B$5,$A11&lt;&gt;""),"Trễ hạn",IF(AND($K11-CONFIG!$B$5&lt;=2,$K11&gt;=CONFIG!$B$5),"Sắp đến hạn",IF(OR($L11&lt;&gt;"",$O11&gt;0),"Đang thực hiện","Chưa bắt đầu"))))))</f>
        <v/>
      </c>
      <c r="S11" s="191" t="n"/>
      <c r="T11" s="188" t="inlineStr">
        <is>
          <t>T01</t>
        </is>
      </c>
      <c r="U11" s="188" t="inlineStr">
        <is>
          <t>Chốt fields dùng cho baseline</t>
        </is>
      </c>
      <c r="V11" s="188" t="n"/>
      <c r="W11" s="47" t="inlineStr">
        <is>
          <t>Class imbalance cần ghi rõ</t>
        </is>
      </c>
    </row>
    <row r="12" ht="18" customHeight="1">
      <c r="A12" s="187" t="inlineStr">
        <is>
          <t>T06</t>
        </is>
      </c>
      <c r="B12" s="187" t="inlineStr">
        <is>
          <t>W2</t>
        </is>
      </c>
      <c r="C12" s="187" t="inlineStr">
        <is>
          <t>3. Data Understanding</t>
        </is>
      </c>
      <c r="D12" s="187" t="inlineStr">
        <is>
          <t>Data</t>
        </is>
      </c>
      <c r="E12" s="188" t="inlineStr">
        <is>
          <t>Audit dataset IEEE-CIS và logic join</t>
        </is>
      </c>
      <c r="F12" s="188" t="inlineStr">
        <is>
          <t>IEEE-CIS schema + join note</t>
        </is>
      </c>
      <c r="G12" s="187" t="inlineStr">
        <is>
          <t>TV3</t>
        </is>
      </c>
      <c r="H12" s="187" t="inlineStr">
        <is>
          <t>TV1</t>
        </is>
      </c>
      <c r="I12" s="187" t="inlineStr">
        <is>
          <t>TV4</t>
        </is>
      </c>
      <c r="J12" s="189" t="n">
        <v>46104</v>
      </c>
      <c r="K12" s="189" t="n">
        <v>46108</v>
      </c>
      <c r="L12" s="189" t="n"/>
      <c r="M12" s="189" t="n"/>
      <c r="N12" s="187" t="inlineStr">
        <is>
          <t>Cao</t>
        </is>
      </c>
      <c r="O12" s="190" t="n">
        <v>0</v>
      </c>
      <c r="P12" s="189" t="n"/>
      <c r="Q12" s="187" t="inlineStr">
        <is>
          <t>Không</t>
        </is>
      </c>
      <c r="R12" s="191">
        <f>IF($A12="","",IF($Q12="Có","Blocked",IF(OR($O12&gt;=1,$M12&lt;&gt;""),"Hoàn thành",IF(AND($K12&lt;CONFIG!$B$5,$A12&lt;&gt;""),"Trễ hạn",IF(AND($K12-CONFIG!$B$5&lt;=2,$K12&gt;=CONFIG!$B$5),"Sắp đến hạn",IF(OR($L12&lt;&gt;"",$O12&gt;0),"Đang thực hiện","Chưa bắt đầu"))))))</f>
        <v/>
      </c>
      <c r="S12" s="191" t="n"/>
      <c r="T12" s="188" t="inlineStr">
        <is>
          <t>T01</t>
        </is>
      </c>
      <c r="U12" s="188" t="inlineStr">
        <is>
          <t>Map transaction / identity</t>
        </is>
      </c>
      <c r="V12" s="188" t="n"/>
      <c r="W12" s="54" t="inlineStr">
        <is>
          <t>Thiếu một số mô tả field</t>
        </is>
      </c>
    </row>
    <row r="13" ht="18" customHeight="1">
      <c r="A13" s="187" t="inlineStr">
        <is>
          <t>T07</t>
        </is>
      </c>
      <c r="B13" s="187" t="inlineStr">
        <is>
          <t>W2</t>
        </is>
      </c>
      <c r="C13" s="187" t="inlineStr">
        <is>
          <t>3. Data Understanding</t>
        </is>
      </c>
      <c r="D13" s="187" t="inlineStr">
        <is>
          <t>Data</t>
        </is>
      </c>
      <c r="E13" s="188" t="inlineStr">
        <is>
          <t>Thiết kế schema dùng chung cho 2 nguồn</t>
        </is>
      </c>
      <c r="F13" s="188" t="inlineStr">
        <is>
          <t>Common schema + naming rules</t>
        </is>
      </c>
      <c r="G13" s="187" t="inlineStr">
        <is>
          <t>TV2</t>
        </is>
      </c>
      <c r="H13" s="187" t="inlineStr">
        <is>
          <t>TV3</t>
        </is>
      </c>
      <c r="I13" s="187" t="inlineStr">
        <is>
          <t>TV4</t>
        </is>
      </c>
      <c r="J13" s="189" t="n">
        <v>46107</v>
      </c>
      <c r="K13" s="189" t="n">
        <v>46110</v>
      </c>
      <c r="L13" s="189" t="n"/>
      <c r="M13" s="189" t="n"/>
      <c r="N13" s="187" t="inlineStr">
        <is>
          <t>Cao</t>
        </is>
      </c>
      <c r="O13" s="190" t="n">
        <v>0</v>
      </c>
      <c r="P13" s="189" t="n"/>
      <c r="Q13" s="187" t="inlineStr">
        <is>
          <t>Không</t>
        </is>
      </c>
      <c r="R13" s="191">
        <f>IF($A13="","",IF($Q13="Có","Blocked",IF(OR($O13&gt;=1,$M13&lt;&gt;""),"Hoàn thành",IF(AND($K13&lt;CONFIG!$B$5,$A13&lt;&gt;""),"Trễ hạn",IF(AND($K13-CONFIG!$B$5&lt;=2,$K13&gt;=CONFIG!$B$5),"Sắp đến hạn",IF(OR($L13&lt;&gt;"",$O13&gt;0),"Đang thực hiện","Chưa bắt đầu"))))))</f>
        <v/>
      </c>
      <c r="S13" s="191" t="n"/>
      <c r="T13" s="188" t="inlineStr">
        <is>
          <t>T05,T06</t>
        </is>
      </c>
      <c r="U13" s="188" t="inlineStr">
        <is>
          <t>Tạo version 1 data contract</t>
        </is>
      </c>
      <c r="V13" s="188" t="n"/>
      <c r="W13" s="47" t="n"/>
    </row>
    <row r="14" ht="18" customHeight="1">
      <c r="A14" s="187" t="inlineStr">
        <is>
          <t>T08</t>
        </is>
      </c>
      <c r="B14" s="187" t="inlineStr">
        <is>
          <t>W3</t>
        </is>
      </c>
      <c r="C14" s="187" t="inlineStr">
        <is>
          <t>4. Preprocessing &amp; Metrics</t>
        </is>
      </c>
      <c r="D14" s="187" t="inlineStr">
        <is>
          <t>Data</t>
        </is>
      </c>
      <c r="E14" s="188" t="inlineStr">
        <is>
          <t>EDA + imbalance analysis cho PaySim</t>
        </is>
      </c>
      <c r="F14" s="188" t="inlineStr">
        <is>
          <t>EDA notebook PaySim</t>
        </is>
      </c>
      <c r="G14" s="187" t="inlineStr">
        <is>
          <t>TV2</t>
        </is>
      </c>
      <c r="H14" s="187" t="inlineStr">
        <is>
          <t>TV4</t>
        </is>
      </c>
      <c r="I14" s="187" t="inlineStr">
        <is>
          <t>TV1</t>
        </is>
      </c>
      <c r="J14" s="189" t="n">
        <v>46111</v>
      </c>
      <c r="K14" s="189" t="n">
        <v>46114</v>
      </c>
      <c r="L14" s="189" t="n"/>
      <c r="M14" s="189" t="n"/>
      <c r="N14" s="187" t="inlineStr">
        <is>
          <t>Cao</t>
        </is>
      </c>
      <c r="O14" s="190" t="n">
        <v>0</v>
      </c>
      <c r="P14" s="189" t="n"/>
      <c r="Q14" s="187" t="inlineStr">
        <is>
          <t>Không</t>
        </is>
      </c>
      <c r="R14" s="191">
        <f>IF($A14="","",IF($Q14="Có","Blocked",IF(OR($O14&gt;=1,$M14&lt;&gt;""),"Hoàn thành",IF(AND($K14&lt;CONFIG!$B$5,$A14&lt;&gt;""),"Trễ hạn",IF(AND($K14-CONFIG!$B$5&lt;=2,$K14&gt;=CONFIG!$B$5),"Sắp đến hạn",IF(OR($L14&lt;&gt;"",$O14&gt;0),"Đang thực hiện","Chưa bắt đầu"))))))</f>
        <v/>
      </c>
      <c r="S14" s="191" t="n"/>
      <c r="T14" s="188" t="inlineStr">
        <is>
          <t>T05</t>
        </is>
      </c>
      <c r="U14" s="188" t="inlineStr">
        <is>
          <t>Chuẩn bị chart cho report</t>
        </is>
      </c>
      <c r="V14" s="188" t="n"/>
      <c r="W14" s="54" t="n"/>
    </row>
    <row r="15" ht="18" customHeight="1">
      <c r="A15" s="187" t="inlineStr">
        <is>
          <t>T09</t>
        </is>
      </c>
      <c r="B15" s="187" t="inlineStr">
        <is>
          <t>W3</t>
        </is>
      </c>
      <c r="C15" s="187" t="inlineStr">
        <is>
          <t>4. Preprocessing &amp; Metrics</t>
        </is>
      </c>
      <c r="D15" s="187" t="inlineStr">
        <is>
          <t>Data</t>
        </is>
      </c>
      <c r="E15" s="188" t="inlineStr">
        <is>
          <t>Missing/categorical strategy cho IEEE-CIS</t>
        </is>
      </c>
      <c r="F15" s="188" t="inlineStr">
        <is>
          <t>Preprocessing plan IEEE-CIS</t>
        </is>
      </c>
      <c r="G15" s="187" t="inlineStr">
        <is>
          <t>TV3</t>
        </is>
      </c>
      <c r="H15" s="187" t="inlineStr">
        <is>
          <t>TV4</t>
        </is>
      </c>
      <c r="I15" s="187" t="inlineStr">
        <is>
          <t>TV1</t>
        </is>
      </c>
      <c r="J15" s="189" t="n">
        <v>46111</v>
      </c>
      <c r="K15" s="189" t="n">
        <v>46115</v>
      </c>
      <c r="L15" s="189" t="n"/>
      <c r="M15" s="189" t="n"/>
      <c r="N15" s="187" t="inlineStr">
        <is>
          <t>Cao</t>
        </is>
      </c>
      <c r="O15" s="190" t="n">
        <v>0</v>
      </c>
      <c r="P15" s="189" t="n"/>
      <c r="Q15" s="187" t="inlineStr">
        <is>
          <t>Không</t>
        </is>
      </c>
      <c r="R15" s="191">
        <f>IF($A15="","",IF($Q15="Có","Blocked",IF(OR($O15&gt;=1,$M15&lt;&gt;""),"Hoàn thành",IF(AND($K15&lt;CONFIG!$B$5,$A15&lt;&gt;""),"Trễ hạn",IF(AND($K15-CONFIG!$B$5&lt;=2,$K15&gt;=CONFIG!$B$5),"Sắp đến hạn",IF(OR($L15&lt;&gt;"",$O15&gt;0),"Đang thực hiện","Chưa bắt đầu"))))))</f>
        <v/>
      </c>
      <c r="S15" s="191" t="n"/>
      <c r="T15" s="188" t="inlineStr">
        <is>
          <t>T06</t>
        </is>
      </c>
      <c r="U15" s="188" t="inlineStr">
        <is>
          <t>Chốt top variables usable</t>
        </is>
      </c>
      <c r="V15" s="188" t="n"/>
      <c r="W15" s="47" t="n"/>
    </row>
    <row r="16" ht="18" customHeight="1">
      <c r="A16" s="187" t="inlineStr">
        <is>
          <t>T10</t>
        </is>
      </c>
      <c r="B16" s="187" t="inlineStr">
        <is>
          <t>W3</t>
        </is>
      </c>
      <c r="C16" s="187" t="inlineStr">
        <is>
          <t>4. Preprocessing &amp; Metrics</t>
        </is>
      </c>
      <c r="D16" s="187" t="inlineStr">
        <is>
          <t>Engineering</t>
        </is>
      </c>
      <c r="E16" s="188" t="inlineStr">
        <is>
          <t>Xây pipeline preprocessing: Temporal walk-forward CV + K-Means SMOTE</t>
        </is>
      </c>
      <c r="F16" s="188" t="inlineStr">
        <is>
          <t>Reusable preprocessing pipeline v1</t>
        </is>
      </c>
      <c r="G16" s="187" t="inlineStr">
        <is>
          <t>TV2</t>
        </is>
      </c>
      <c r="H16" s="187" t="inlineStr">
        <is>
          <t>TV3</t>
        </is>
      </c>
      <c r="I16" s="187" t="inlineStr">
        <is>
          <t>TV4</t>
        </is>
      </c>
      <c r="J16" s="189" t="n">
        <v>46113</v>
      </c>
      <c r="K16" s="189" t="n">
        <v>46117</v>
      </c>
      <c r="L16" s="189" t="n"/>
      <c r="M16" s="189" t="n"/>
      <c r="N16" s="187" t="inlineStr">
        <is>
          <t>Cao</t>
        </is>
      </c>
      <c r="O16" s="190" t="n">
        <v>0</v>
      </c>
      <c r="P16" s="189" t="n"/>
      <c r="Q16" s="187" t="inlineStr">
        <is>
          <t>Không</t>
        </is>
      </c>
      <c r="R16" s="191">
        <f>IF($A16="","",IF($Q16="Có","Blocked",IF(OR($O16&gt;=1,$M16&lt;&gt;""),"Hoàn thành",IF(AND($K16&lt;CONFIG!$B$5,$A16&lt;&gt;""),"Trễ hạn",IF(AND($K16-CONFIG!$B$5&lt;=2,$K16&gt;=CONFIG!$B$5),"Sắp đến hạn",IF(OR($L16&lt;&gt;"",$O16&gt;0),"Đang thực hiện","Chưa bắt đầu"))))))</f>
        <v/>
      </c>
      <c r="S16" s="191" t="n"/>
      <c r="T16" s="188" t="inlineStr">
        <is>
          <t>T07,T08,T09</t>
        </is>
      </c>
      <c r="U16" s="188" t="inlineStr">
        <is>
          <t>Code pipeline fit/transform</t>
        </is>
      </c>
      <c r="V16" s="188" t="n"/>
      <c r="W16" s="54" t="n"/>
    </row>
    <row r="17" ht="18" customHeight="1">
      <c r="A17" s="187" t="inlineStr">
        <is>
          <t>T11</t>
        </is>
      </c>
      <c r="B17" s="187" t="inlineStr">
        <is>
          <t>W3</t>
        </is>
      </c>
      <c r="C17" s="187" t="inlineStr">
        <is>
          <t>4. Preprocessing &amp; Metrics</t>
        </is>
      </c>
      <c r="D17" s="187" t="inlineStr">
        <is>
          <t>QA</t>
        </is>
      </c>
      <c r="E17" s="188" t="inlineStr">
        <is>
          <t>Định nghĩa metric, thống kê (McNemar/Wilcoxon) và không gian tìm kiếm Optuna</t>
        </is>
      </c>
      <c r="F17" s="188" t="inlineStr">
        <is>
          <t>Metric spec + validation checklist</t>
        </is>
      </c>
      <c r="G17" s="187" t="inlineStr">
        <is>
          <t>TV4</t>
        </is>
      </c>
      <c r="H17" s="187" t="inlineStr">
        <is>
          <t>TV1</t>
        </is>
      </c>
      <c r="I17" s="187" t="inlineStr">
        <is>
          <t>TV3</t>
        </is>
      </c>
      <c r="J17" s="189" t="n">
        <v>46113</v>
      </c>
      <c r="K17" s="189" t="n">
        <v>46116</v>
      </c>
      <c r="L17" s="189" t="n"/>
      <c r="M17" s="189" t="n"/>
      <c r="N17" s="187" t="inlineStr">
        <is>
          <t>Trung bình</t>
        </is>
      </c>
      <c r="O17" s="190" t="n">
        <v>0</v>
      </c>
      <c r="P17" s="189" t="n"/>
      <c r="Q17" s="187" t="inlineStr">
        <is>
          <t>Không</t>
        </is>
      </c>
      <c r="R17" s="191">
        <f>IF($A17="","",IF($Q17="Có","Blocked",IF(OR($O17&gt;=1,$M17&lt;&gt;""),"Hoàn thành",IF(AND($K17&lt;CONFIG!$B$5,$A17&lt;&gt;""),"Trễ hạn",IF(AND($K17-CONFIG!$B$5&lt;=2,$K17&gt;=CONFIG!$B$5),"Sắp đến hạn",IF(OR($L17&lt;&gt;"",$O17&gt;0),"Đang thực hiện","Chưa bắt đầu"))))))</f>
        <v/>
      </c>
      <c r="S17" s="191" t="n"/>
      <c r="T17" s="188" t="inlineStr">
        <is>
          <t>T03</t>
        </is>
      </c>
      <c r="U17" s="188" t="inlineStr">
        <is>
          <t>Chốt PR-AUC / Recall / F1</t>
        </is>
      </c>
      <c r="V17" s="188" t="n"/>
      <c r="W17" s="47" t="n"/>
    </row>
    <row r="18" ht="18" customHeight="1">
      <c r="A18" s="187" t="inlineStr">
        <is>
          <t>T12</t>
        </is>
      </c>
      <c r="B18" s="187" t="inlineStr">
        <is>
          <t>W4</t>
        </is>
      </c>
      <c r="C18" s="187" t="inlineStr">
        <is>
          <t>5. Features &amp; Baselines</t>
        </is>
      </c>
      <c r="D18" s="187" t="inlineStr">
        <is>
          <t>Modeling</t>
        </is>
      </c>
      <c r="E18" s="188" t="inlineStr">
        <is>
          <t>Thiết kế feature engineering cho 3 Views (Tabular, Sequential, Graph)</t>
        </is>
      </c>
      <c r="F18" s="188" t="inlineStr">
        <is>
          <t>Feature list + transformation rules</t>
        </is>
      </c>
      <c r="G18" s="187" t="inlineStr">
        <is>
          <t>TV3</t>
        </is>
      </c>
      <c r="H18" s="187" t="inlineStr">
        <is>
          <t>TV2</t>
        </is>
      </c>
      <c r="I18" s="187" t="inlineStr">
        <is>
          <t>TV4</t>
        </is>
      </c>
      <c r="J18" s="189" t="n">
        <v>46118</v>
      </c>
      <c r="K18" s="189" t="n">
        <v>46122</v>
      </c>
      <c r="L18" s="189" t="n"/>
      <c r="M18" s="189" t="n"/>
      <c r="N18" s="187" t="inlineStr">
        <is>
          <t>Cao</t>
        </is>
      </c>
      <c r="O18" s="190" t="n">
        <v>0</v>
      </c>
      <c r="P18" s="189" t="n"/>
      <c r="Q18" s="187" t="inlineStr">
        <is>
          <t>Không</t>
        </is>
      </c>
      <c r="R18" s="191">
        <f>IF($A18="","",IF($Q18="Có","Blocked",IF(OR($O18&gt;=1,$M18&lt;&gt;""),"Hoàn thành",IF(AND($K18&lt;CONFIG!$B$5,$A18&lt;&gt;""),"Trễ hạn",IF(AND($K18-CONFIG!$B$5&lt;=2,$K18&gt;=CONFIG!$B$5),"Sắp đến hạn",IF(OR($L18&lt;&gt;"",$O18&gt;0),"Đang thực hiện","Chưa bắt đầu"))))))</f>
        <v/>
      </c>
      <c r="S18" s="191" t="n"/>
      <c r="T18" s="188" t="inlineStr">
        <is>
          <t>T10</t>
        </is>
      </c>
      <c r="U18" s="188" t="inlineStr">
        <is>
          <t>Ưu tiên hành vi + thời gian</t>
        </is>
      </c>
      <c r="V18" s="188" t="n"/>
      <c r="W18" s="54" t="n"/>
    </row>
    <row r="19" ht="18" customHeight="1">
      <c r="A19" s="187" t="inlineStr">
        <is>
          <t>T13</t>
        </is>
      </c>
      <c r="B19" s="187" t="inlineStr">
        <is>
          <t>W4</t>
        </is>
      </c>
      <c r="C19" s="187" t="inlineStr">
        <is>
          <t>5. Features &amp; Baselines</t>
        </is>
      </c>
      <c r="D19" s="187" t="inlineStr">
        <is>
          <t>Modeling</t>
        </is>
      </c>
      <c r="E19" s="188" t="inlineStr">
        <is>
          <t>Huấn luyện Random Forest 1st-level (Tabular View)</t>
        </is>
      </c>
      <c r="F19" s="188" t="inlineStr">
        <is>
          <t>Baseline report PaySim (LR/RF)</t>
        </is>
      </c>
      <c r="G19" s="187" t="inlineStr">
        <is>
          <t>TV2</t>
        </is>
      </c>
      <c r="H19" s="187" t="inlineStr">
        <is>
          <t>TV3</t>
        </is>
      </c>
      <c r="I19" s="187" t="inlineStr">
        <is>
          <t>TV4</t>
        </is>
      </c>
      <c r="J19" s="189" t="n">
        <v>46119</v>
      </c>
      <c r="K19" s="189" t="n">
        <v>46124</v>
      </c>
      <c r="L19" s="189" t="n"/>
      <c r="M19" s="189" t="n"/>
      <c r="N19" s="187" t="inlineStr">
        <is>
          <t>Cao</t>
        </is>
      </c>
      <c r="O19" s="190" t="n">
        <v>0</v>
      </c>
      <c r="P19" s="189" t="n"/>
      <c r="Q19" s="187" t="inlineStr">
        <is>
          <t>Không</t>
        </is>
      </c>
      <c r="R19" s="191">
        <f>IF($A19="","",IF($Q19="Có","Blocked",IF(OR($O19&gt;=1,$M19&lt;&gt;""),"Hoàn thành",IF(AND($K19&lt;CONFIG!$B$5,$A19&lt;&gt;""),"Trễ hạn",IF(AND($K19-CONFIG!$B$5&lt;=2,$K19&gt;=CONFIG!$B$5),"Sắp đến hạn",IF(OR($L19&lt;&gt;"",$O19&gt;0),"Đang thực hiện","Chưa bắt đầu"))))))</f>
        <v/>
      </c>
      <c r="S19" s="191" t="n"/>
      <c r="T19" s="188" t="inlineStr">
        <is>
          <t>T08,T10,T11</t>
        </is>
      </c>
      <c r="U19" s="188" t="inlineStr">
        <is>
          <t>So sánh precision-recall</t>
        </is>
      </c>
      <c r="V19" s="188" t="n"/>
      <c r="W19" s="47" t="n"/>
    </row>
    <row r="20" ht="25.75" customHeight="1">
      <c r="A20" s="187" t="inlineStr">
        <is>
          <t>T14</t>
        </is>
      </c>
      <c r="B20" s="187" t="inlineStr">
        <is>
          <t>W4</t>
        </is>
      </c>
      <c r="C20" s="187" t="inlineStr">
        <is>
          <t>5. Features &amp; Baselines</t>
        </is>
      </c>
      <c r="D20" s="187" t="inlineStr">
        <is>
          <t>Modeling</t>
        </is>
      </c>
      <c r="E20" s="188" t="inlineStr">
        <is>
          <t>Huấn luyện LSTM (Sequential View)</t>
        </is>
      </c>
      <c r="F20" s="188" t="inlineStr">
        <is>
          <t>Baseline report IEEE-CIS</t>
        </is>
      </c>
      <c r="G20" s="187" t="inlineStr">
        <is>
          <t>TV2</t>
        </is>
      </c>
      <c r="H20" s="187" t="inlineStr">
        <is>
          <t>TV2</t>
        </is>
      </c>
      <c r="I20" s="187" t="inlineStr">
        <is>
          <t>TV4</t>
        </is>
      </c>
      <c r="J20" s="189" t="n">
        <v>46119</v>
      </c>
      <c r="K20" s="189" t="n">
        <v>46124</v>
      </c>
      <c r="L20" s="189" t="n"/>
      <c r="M20" s="189" t="n"/>
      <c r="N20" s="187" t="inlineStr">
        <is>
          <t>Cao</t>
        </is>
      </c>
      <c r="O20" s="190" t="n">
        <v>0</v>
      </c>
      <c r="P20" s="189" t="n"/>
      <c r="Q20" s="187" t="inlineStr">
        <is>
          <t>Không</t>
        </is>
      </c>
      <c r="R20" s="191">
        <f>IF($A20="","",IF($Q20="Có","Blocked",IF(OR($O20&gt;=1,$M20&lt;&gt;""),"Hoàn thành",IF(AND($K20&lt;CONFIG!$B$5,$A20&lt;&gt;""),"Trễ hạn",IF(AND($K20-CONFIG!$B$5&lt;=2,$K20&gt;=CONFIG!$B$5),"Sắp đến hạn",IF(OR($L20&lt;&gt;"",$O20&gt;0),"Đang thực hiện","Chưa bắt đầu"))))))</f>
        <v/>
      </c>
      <c r="S20" s="191" t="n"/>
      <c r="T20" s="188" t="inlineStr">
        <is>
          <t>T09,T10,T11</t>
        </is>
      </c>
      <c r="U20" s="188" t="inlineStr">
        <is>
          <t>Chốt subset chạy ổn định</t>
        </is>
      </c>
      <c r="V20" s="188" t="n"/>
      <c r="W20" s="54" t="n"/>
    </row>
    <row r="21" ht="12.9" customHeight="1">
      <c r="A21" s="187" t="inlineStr">
        <is>
          <t>T15</t>
        </is>
      </c>
      <c r="B21" s="187" t="inlineStr">
        <is>
          <t>W4</t>
        </is>
      </c>
      <c r="C21" s="187" t="inlineStr">
        <is>
          <t>5. Features &amp; Baselines</t>
        </is>
      </c>
      <c r="D21" s="187" t="inlineStr">
        <is>
          <t>QA</t>
        </is>
      </c>
      <c r="E21" s="188" t="inlineStr">
        <is>
          <t>Gate review chất lượng dữ liệu và baseline</t>
        </is>
      </c>
      <c r="F21" s="188" t="inlineStr">
        <is>
          <t>Data &amp; baseline review memo</t>
        </is>
      </c>
      <c r="G21" s="187" t="inlineStr">
        <is>
          <t>TV4</t>
        </is>
      </c>
      <c r="H21" s="187" t="inlineStr">
        <is>
          <t>TV1</t>
        </is>
      </c>
      <c r="I21" s="187" t="inlineStr">
        <is>
          <t>TV5</t>
        </is>
      </c>
      <c r="J21" s="189" t="n">
        <v>46123</v>
      </c>
      <c r="K21" s="189" t="n">
        <v>46124</v>
      </c>
      <c r="L21" s="189" t="n"/>
      <c r="M21" s="189" t="n"/>
      <c r="N21" s="187" t="inlineStr">
        <is>
          <t>Trung bình</t>
        </is>
      </c>
      <c r="O21" s="190" t="n">
        <v>0</v>
      </c>
      <c r="P21" s="189" t="n"/>
      <c r="Q21" s="187" t="inlineStr">
        <is>
          <t>Không</t>
        </is>
      </c>
      <c r="R21" s="191">
        <f>IF($A21="","",IF($Q21="Có","Blocked",IF(OR($O21&gt;=1,$M21&lt;&gt;""),"Hoàn thành",IF(AND($K21&lt;CONFIG!$B$5,$A21&lt;&gt;""),"Trễ hạn",IF(AND($K21-CONFIG!$B$5&lt;=2,$K21&gt;=CONFIG!$B$5),"Sắp đến hạn",IF(OR($L21&lt;&gt;"",$O21&gt;0),"Đang thực hiện","Chưa bắt đầu"))))))</f>
        <v/>
      </c>
      <c r="S21" s="191" t="n"/>
      <c r="T21" s="188" t="inlineStr">
        <is>
          <t>T13,T14</t>
        </is>
      </c>
      <c r="U21" s="188" t="inlineStr">
        <is>
          <t>Go/No-go cho advanced model</t>
        </is>
      </c>
      <c r="V21" s="188" t="n"/>
      <c r="W21" s="47" t="n"/>
    </row>
    <row r="22" ht="25.75" customHeight="1">
      <c r="A22" s="187" t="inlineStr">
        <is>
          <t>T16</t>
        </is>
      </c>
      <c r="B22" s="187" t="inlineStr">
        <is>
          <t>W4</t>
        </is>
      </c>
      <c r="C22" s="187" t="inlineStr">
        <is>
          <t>5. Features &amp; Baselines</t>
        </is>
      </c>
      <c r="D22" s="187" t="inlineStr">
        <is>
          <t>Data</t>
        </is>
      </c>
      <c r="E22" s="188" t="inlineStr">
        <is>
          <t>Lập trình cơ chế Missing-View (Cờ nhị phân View Mask &amp; Calibrated Prior)</t>
        </is>
      </c>
      <c r="F22" s="188" t="inlineStr">
        <is>
          <t>Missing-View src code</t>
        </is>
      </c>
      <c r="G22" s="187" t="inlineStr">
        <is>
          <t>TV2</t>
        </is>
      </c>
      <c r="H22" s="187" t="n"/>
      <c r="I22" s="187" t="inlineStr">
        <is>
          <t>TV3</t>
        </is>
      </c>
      <c r="J22" s="189" t="n">
        <v>46117</v>
      </c>
      <c r="K22" s="189" t="n">
        <v>46124</v>
      </c>
      <c r="L22" s="189" t="n"/>
      <c r="M22" s="189" t="n"/>
      <c r="N22" s="187" t="inlineStr">
        <is>
          <t>Cao</t>
        </is>
      </c>
      <c r="O22" s="190" t="n">
        <v>0</v>
      </c>
      <c r="P22" s="189" t="n"/>
      <c r="Q22" s="187" t="inlineStr">
        <is>
          <t>Không</t>
        </is>
      </c>
      <c r="R22" s="191">
        <f>IF($A22="","",IF($Q22="Có","Blocked",IF(OR($O22&gt;=1,$M22&lt;&gt;""),"Hoàn thành",IF(AND($K22&lt;CONFIG!$B$5,$A22&lt;&gt;""),"Trễ hạn",IF(AND($K22-CONFIG!$B$5&lt;=2,$K22&gt;=CONFIG!$B$5),"Sắp đến hạn",IF(OR($L22&lt;&gt;"",$O22&gt;0),"Đang thực hiện","Chưa bắt đầu"))))))</f>
        <v/>
      </c>
      <c r="S22" s="191" t="n"/>
      <c r="T22" s="188" t="n"/>
      <c r="U22" s="188" t="n"/>
      <c r="V22" s="188" t="n"/>
      <c r="W22" s="54" t="n"/>
    </row>
    <row r="23" ht="18" customHeight="1">
      <c r="A23" s="187" t="inlineStr">
        <is>
          <t>T17</t>
        </is>
      </c>
      <c r="B23" s="187" t="inlineStr">
        <is>
          <t>W5</t>
        </is>
      </c>
      <c r="C23" s="187" t="inlineStr">
        <is>
          <t>6. Advanced Modeling</t>
        </is>
      </c>
      <c r="D23" s="187" t="inlineStr">
        <is>
          <t>Modeling</t>
        </is>
      </c>
      <c r="E23" s="188" t="inlineStr">
        <is>
          <t>Huấn luyện XGBoost &amp; LightGBM (Tabular) + Focal Loss + Optuna TPE Tuning</t>
        </is>
      </c>
      <c r="F23" s="188" t="inlineStr">
        <is>
          <t>Advanced model experiments</t>
        </is>
      </c>
      <c r="G23" s="187" t="inlineStr">
        <is>
          <t>TV3</t>
        </is>
      </c>
      <c r="H23" s="187" t="inlineStr">
        <is>
          <t>TV2</t>
        </is>
      </c>
      <c r="I23" s="187" t="inlineStr">
        <is>
          <t>TV4</t>
        </is>
      </c>
      <c r="J23" s="189" t="n">
        <v>46125</v>
      </c>
      <c r="K23" s="189" t="n">
        <v>46131</v>
      </c>
      <c r="L23" s="189" t="n"/>
      <c r="M23" s="189" t="n"/>
      <c r="N23" s="187" t="inlineStr">
        <is>
          <t>Cao</t>
        </is>
      </c>
      <c r="O23" s="190" t="n">
        <v>0</v>
      </c>
      <c r="P23" s="189" t="n"/>
      <c r="Q23" s="187" t="inlineStr">
        <is>
          <t>Không</t>
        </is>
      </c>
      <c r="R23" s="191">
        <f>IF($A23="","",IF($Q23="Có","Blocked",IF(OR($O23&gt;=1,$M23&lt;&gt;""),"Hoàn thành",IF(AND($K23&lt;CONFIG!$B$5,$A23&lt;&gt;""),"Trễ hạn",IF(AND($K23-CONFIG!$B$5&lt;=2,$K23&gt;=CONFIG!$B$5),"Sắp đến hạn",IF(OR($L23&lt;&gt;"",$O23&gt;0),"Đang thực hiện","Chưa bắt đầu"))))))</f>
        <v/>
      </c>
      <c r="S23" s="191" t="n"/>
      <c r="T23" s="188" t="inlineStr">
        <is>
          <t>T12,T15</t>
        </is>
      </c>
      <c r="U23" s="188" t="inlineStr">
        <is>
          <t>Chạy grid hợp lý để tiết kiệm thời gian</t>
        </is>
      </c>
      <c r="V23" s="188" t="n"/>
      <c r="W23" s="47" t="n"/>
    </row>
    <row r="24" ht="18" customHeight="1">
      <c r="A24" s="187" t="inlineStr">
        <is>
          <t>T18</t>
        </is>
      </c>
      <c r="B24" s="187" t="inlineStr">
        <is>
          <t>W5</t>
        </is>
      </c>
      <c r="C24" s="187" t="inlineStr">
        <is>
          <t>6. Advanced Modeling</t>
        </is>
      </c>
      <c r="D24" s="187" t="inlineStr">
        <is>
          <t>Modeling</t>
        </is>
      </c>
      <c r="E24" s="188" t="inlineStr">
        <is>
          <t>Huấn luyện GAT (Graph View) &amp; Logistic Regression Meta-Learner</t>
        </is>
      </c>
      <c r="F24" s="188" t="inlineStr">
        <is>
          <t>Ensemble design note + result</t>
        </is>
      </c>
      <c r="G24" s="187" t="inlineStr">
        <is>
          <t>TV3</t>
        </is>
      </c>
      <c r="H24" s="187" t="inlineStr">
        <is>
          <t>TV4</t>
        </is>
      </c>
      <c r="I24" s="187" t="inlineStr">
        <is>
          <t>TV1</t>
        </is>
      </c>
      <c r="J24" s="189" t="n">
        <v>46128</v>
      </c>
      <c r="K24" s="189" t="n">
        <v>46132</v>
      </c>
      <c r="L24" s="189" t="n"/>
      <c r="M24" s="189" t="n"/>
      <c r="N24" s="187" t="inlineStr">
        <is>
          <t>Trung bình</t>
        </is>
      </c>
      <c r="O24" s="190" t="n">
        <v>0</v>
      </c>
      <c r="P24" s="189" t="n"/>
      <c r="Q24" s="187" t="inlineStr">
        <is>
          <t>Không</t>
        </is>
      </c>
      <c r="R24" s="191">
        <f>IF($A24="","",IF($Q24="Có","Blocked",IF(OR($O24&gt;=1,$M24&lt;&gt;""),"Hoàn thành",IF(AND($K24&lt;CONFIG!$B$5,$A24&lt;&gt;""),"Trễ hạn",IF(AND($K24-CONFIG!$B$5&lt;=2,$K24&gt;=CONFIG!$B$5),"Sắp đến hạn",IF(OR($L24&lt;&gt;"",$O24&gt;0),"Đang thực hiện","Chưa bắt đầu"))))))</f>
        <v/>
      </c>
      <c r="S24" s="191" t="n"/>
      <c r="T24" s="188" t="inlineStr">
        <is>
          <t>T16</t>
        </is>
      </c>
      <c r="U24" s="188" t="inlineStr">
        <is>
          <t>Thử voting trước stacking</t>
        </is>
      </c>
      <c r="V24" s="188" t="n"/>
      <c r="W24" s="54" t="n"/>
    </row>
    <row r="25" ht="18" customHeight="1">
      <c r="A25" s="187" t="inlineStr">
        <is>
          <t>T19</t>
        </is>
      </c>
      <c r="B25" s="187" t="inlineStr">
        <is>
          <t>W5</t>
        </is>
      </c>
      <c r="C25" s="187" t="inlineStr">
        <is>
          <t>6. Advanced Modeling</t>
        </is>
      </c>
      <c r="D25" s="187" t="inlineStr">
        <is>
          <t>QA</t>
        </is>
      </c>
      <c r="E25" s="188" t="inlineStr">
        <is>
          <t>Triển khai 4-level XAI (SHAP, LIME, DiCE, Anchors)</t>
        </is>
      </c>
      <c r="F25" s="188" t="inlineStr">
        <is>
          <t>XAI + error analysis deck</t>
        </is>
      </c>
      <c r="G25" s="187" t="inlineStr">
        <is>
          <t>TV4</t>
        </is>
      </c>
      <c r="H25" s="187" t="inlineStr">
        <is>
          <t>TV3</t>
        </is>
      </c>
      <c r="I25" s="187" t="inlineStr">
        <is>
          <t>TV1</t>
        </is>
      </c>
      <c r="J25" s="189" t="n">
        <v>46129</v>
      </c>
      <c r="K25" s="189" t="n">
        <v>46133</v>
      </c>
      <c r="L25" s="189" t="n"/>
      <c r="M25" s="189" t="n"/>
      <c r="N25" s="187" t="inlineStr">
        <is>
          <t>Trung bình</t>
        </is>
      </c>
      <c r="O25" s="190" t="n">
        <v>0</v>
      </c>
      <c r="P25" s="189" t="n"/>
      <c r="Q25" s="187" t="inlineStr">
        <is>
          <t>Không</t>
        </is>
      </c>
      <c r="R25" s="191">
        <f>IF($A25="","",IF($Q25="Có","Blocked",IF(OR($O25&gt;=1,$M25&lt;&gt;""),"Hoàn thành",IF(AND($K25&lt;CONFIG!$B$5,$A25&lt;&gt;""),"Trễ hạn",IF(AND($K25-CONFIG!$B$5&lt;=2,$K25&gt;=CONFIG!$B$5),"Sắp đến hạn",IF(OR($L25&lt;&gt;"",$O25&gt;0),"Đang thực hiện","Chưa bắt đầu"))))))</f>
        <v/>
      </c>
      <c r="S25" s="191" t="n"/>
      <c r="T25" s="188" t="inlineStr">
        <is>
          <t>T16</t>
        </is>
      </c>
      <c r="U25" s="188" t="inlineStr">
        <is>
          <t>Rút insight cho report</t>
        </is>
      </c>
      <c r="V25" s="188" t="n"/>
      <c r="W25" s="47" t="n"/>
    </row>
    <row r="26" ht="18" customHeight="1">
      <c r="A26" s="187" t="inlineStr">
        <is>
          <t>T20</t>
        </is>
      </c>
      <c r="B26" s="187" t="inlineStr">
        <is>
          <t>W6</t>
        </is>
      </c>
      <c r="C26" s="187" t="inlineStr">
        <is>
          <t>6. Advanced Modeling</t>
        </is>
      </c>
      <c r="D26" s="187" t="inlineStr">
        <is>
          <t>QA</t>
        </is>
      </c>
      <c r="E26" s="188" t="inlineStr">
        <is>
          <t>Thực thi 19-Experiment Ablation Matrix &amp; Kiểm định ý nghĩa McNemar/Wilcoxon</t>
        </is>
      </c>
      <c r="F26" s="188" t="inlineStr">
        <is>
          <t>Ablation results matrix</t>
        </is>
      </c>
      <c r="G26" s="187" t="inlineStr">
        <is>
          <t>TV4</t>
        </is>
      </c>
      <c r="H26" s="187" t="inlineStr">
        <is>
          <t>TV3</t>
        </is>
      </c>
      <c r="I26" s="187" t="inlineStr">
        <is>
          <t>TV1</t>
        </is>
      </c>
      <c r="J26" s="189" t="n">
        <v>46132</v>
      </c>
      <c r="K26" s="189" t="n">
        <v>46137</v>
      </c>
      <c r="L26" s="189" t="n"/>
      <c r="M26" s="189" t="n"/>
      <c r="N26" s="187" t="inlineStr">
        <is>
          <t>Cao</t>
        </is>
      </c>
      <c r="O26" s="190" t="n">
        <v>0</v>
      </c>
      <c r="P26" s="189" t="n"/>
      <c r="Q26" s="187" t="inlineStr">
        <is>
          <t>Không</t>
        </is>
      </c>
      <c r="R26" s="191">
        <f>IF($A26="","",IF($Q26="Có","Blocked",IF(OR($O26&gt;=1,$M26&lt;&gt;""),"Hoàn thành",IF(AND($K26&lt;CONFIG!$B$5,$A26&lt;&gt;""),"Trễ hạn",IF(AND($K26-CONFIG!$B$5&lt;=2,$K26&gt;=CONFIG!$B$5),"Sắp đến hạn",IF(OR($L26&lt;&gt;"",$O26&gt;0),"Đang thực hiện","Chưa bắt đầu"))))))</f>
        <v/>
      </c>
      <c r="S26" s="191" t="n"/>
      <c r="T26" s="188" t="n"/>
      <c r="U26" s="188" t="n"/>
      <c r="V26" s="188" t="n"/>
      <c r="W26" s="54" t="n"/>
    </row>
    <row r="27" ht="18" customHeight="1">
      <c r="A27" s="187" t="inlineStr">
        <is>
          <t>T21</t>
        </is>
      </c>
      <c r="B27" s="187" t="inlineStr">
        <is>
          <t>W6</t>
        </is>
      </c>
      <c r="C27" s="187" t="inlineStr">
        <is>
          <t>7. Integration &amp; Dashboard</t>
        </is>
      </c>
      <c r="D27" s="187" t="inlineStr">
        <is>
          <t>Engineering</t>
        </is>
      </c>
      <c r="E27" s="188" t="inlineStr">
        <is>
          <t>Đóng gói prediction / scoring flow</t>
        </is>
      </c>
      <c r="F27" s="188" t="inlineStr">
        <is>
          <t>Scoring pipeline v1</t>
        </is>
      </c>
      <c r="G27" s="187" t="inlineStr">
        <is>
          <t>TV2</t>
        </is>
      </c>
      <c r="H27" s="187" t="inlineStr">
        <is>
          <t>TV3</t>
        </is>
      </c>
      <c r="I27" s="187" t="inlineStr">
        <is>
          <t>TV4</t>
        </is>
      </c>
      <c r="J27" s="189" t="n">
        <v>46132</v>
      </c>
      <c r="K27" s="189" t="n">
        <v>46137</v>
      </c>
      <c r="L27" s="189" t="n"/>
      <c r="M27" s="189" t="n"/>
      <c r="N27" s="187" t="inlineStr">
        <is>
          <t>Cao</t>
        </is>
      </c>
      <c r="O27" s="190" t="n">
        <v>0</v>
      </c>
      <c r="P27" s="189" t="n"/>
      <c r="Q27" s="187" t="inlineStr">
        <is>
          <t>Không</t>
        </is>
      </c>
      <c r="R27" s="191">
        <f>IF($A27="","",IF($Q27="Có","Blocked",IF(OR($O27&gt;=1,$M27&lt;&gt;""),"Hoàn thành",IF(AND($K27&lt;CONFIG!$B$5,$A27&lt;&gt;""),"Trễ hạn",IF(AND($K27-CONFIG!$B$5&lt;=2,$K27&gt;=CONFIG!$B$5),"Sắp đến hạn",IF(OR($L27&lt;&gt;"",$O27&gt;0),"Đang thực hiện","Chưa bắt đầu"))))))</f>
        <v/>
      </c>
      <c r="S27" s="191" t="n"/>
      <c r="T27" s="188" t="inlineStr">
        <is>
          <t>T16,T17</t>
        </is>
      </c>
      <c r="U27" s="188" t="inlineStr">
        <is>
          <t>Chuẩn hoá input-output</t>
        </is>
      </c>
      <c r="V27" s="188" t="n"/>
      <c r="W27" s="47" t="n"/>
    </row>
    <row r="28" ht="18" customHeight="1">
      <c r="A28" s="187" t="inlineStr">
        <is>
          <t>T22</t>
        </is>
      </c>
      <c r="B28" s="187" t="inlineStr">
        <is>
          <t>W6</t>
        </is>
      </c>
      <c r="C28" s="187" t="inlineStr">
        <is>
          <t>7. Integration &amp; Dashboard</t>
        </is>
      </c>
      <c r="D28" s="187" t="inlineStr">
        <is>
          <t>Product</t>
        </is>
      </c>
      <c r="E28" s="188" t="inlineStr">
        <is>
          <t>Xây dashboard Streamlit v1</t>
        </is>
      </c>
      <c r="F28" s="188" t="inlineStr">
        <is>
          <t>Dashboard v1 + mock data demo</t>
        </is>
      </c>
      <c r="G28" s="187" t="inlineStr">
        <is>
          <t>TV5</t>
        </is>
      </c>
      <c r="H28" s="187" t="inlineStr">
        <is>
          <t>TV2</t>
        </is>
      </c>
      <c r="I28" s="187" t="inlineStr">
        <is>
          <t>TV1</t>
        </is>
      </c>
      <c r="J28" s="189" t="n">
        <v>46132</v>
      </c>
      <c r="K28" s="189" t="n">
        <v>46137</v>
      </c>
      <c r="L28" s="189" t="n"/>
      <c r="M28" s="189" t="n"/>
      <c r="N28" s="187" t="inlineStr">
        <is>
          <t>Cao</t>
        </is>
      </c>
      <c r="O28" s="190" t="n">
        <v>0</v>
      </c>
      <c r="P28" s="189" t="n"/>
      <c r="Q28" s="187" t="inlineStr">
        <is>
          <t>Không</t>
        </is>
      </c>
      <c r="R28" s="191">
        <f>IF($A28="","",IF($Q28="Có","Blocked",IF(OR($O28&gt;=1,$M28&lt;&gt;""),"Hoàn thành",IF(AND($K28&lt;CONFIG!$B$5,$A28&lt;&gt;""),"Trễ hạn",IF(AND($K28-CONFIG!$B$5&lt;=2,$K28&gt;=CONFIG!$B$5),"Sắp đến hạn",IF(OR($L28&lt;&gt;"",$O28&gt;0),"Đang thực hiện","Chưa bắt đầu"))))))</f>
        <v/>
      </c>
      <c r="S28" s="191" t="n"/>
      <c r="T28" s="188" t="inlineStr">
        <is>
          <t>T19</t>
        </is>
      </c>
      <c r="U28" s="188" t="inlineStr">
        <is>
          <t>Hiển thị risk score + filters</t>
        </is>
      </c>
      <c r="V28" s="188" t="n"/>
      <c r="W28" s="54" t="n"/>
    </row>
    <row r="29" ht="18" customHeight="1">
      <c r="A29" s="187" t="inlineStr">
        <is>
          <t>T23</t>
        </is>
      </c>
      <c r="B29" s="187" t="inlineStr">
        <is>
          <t>W6</t>
        </is>
      </c>
      <c r="C29" s="187" t="inlineStr">
        <is>
          <t>7. Integration &amp; Dashboard</t>
        </is>
      </c>
      <c r="D29" s="187" t="inlineStr">
        <is>
          <t>Research</t>
        </is>
      </c>
      <c r="E29" s="188" t="inlineStr">
        <is>
          <t>Model selection memo + business interpretation</t>
        </is>
      </c>
      <c r="F29" s="188" t="inlineStr">
        <is>
          <t>Decision memo cho model cuối</t>
        </is>
      </c>
      <c r="G29" s="187" t="inlineStr">
        <is>
          <t>TV1</t>
        </is>
      </c>
      <c r="H29" s="187" t="inlineStr">
        <is>
          <t>TV4</t>
        </is>
      </c>
      <c r="I29" s="187" t="inlineStr">
        <is>
          <t>TV3</t>
        </is>
      </c>
      <c r="J29" s="189" t="n">
        <v>46135</v>
      </c>
      <c r="K29" s="189" t="n">
        <v>46138</v>
      </c>
      <c r="L29" s="189" t="n"/>
      <c r="M29" s="189" t="n"/>
      <c r="N29" s="187" t="inlineStr">
        <is>
          <t>Trung bình</t>
        </is>
      </c>
      <c r="O29" s="190" t="n">
        <v>0</v>
      </c>
      <c r="P29" s="189" t="n"/>
      <c r="Q29" s="187" t="inlineStr">
        <is>
          <t>Không</t>
        </is>
      </c>
      <c r="R29" s="191">
        <f>IF($A29="","",IF($Q29="Có","Blocked",IF(OR($O29&gt;=1,$M29&lt;&gt;""),"Hoàn thành",IF(AND($K29&lt;CONFIG!$B$5,$A29&lt;&gt;""),"Trễ hạn",IF(AND($K29-CONFIG!$B$5&lt;=2,$K29&gt;=CONFIG!$B$5),"Sắp đến hạn",IF(OR($L29&lt;&gt;"",$O29&gt;0),"Đang thực hiện","Chưa bắt đầu"))))))</f>
        <v/>
      </c>
      <c r="S29" s="191" t="n"/>
      <c r="T29" s="188" t="inlineStr">
        <is>
          <t>T16,T18</t>
        </is>
      </c>
      <c r="U29" s="188" t="inlineStr">
        <is>
          <t>Chốt mô hình và narrative</t>
        </is>
      </c>
      <c r="V29" s="188" t="n"/>
      <c r="W29" s="47" t="n"/>
    </row>
    <row r="30" ht="12.9" customHeight="1">
      <c r="A30" s="187" t="inlineStr">
        <is>
          <t>T24</t>
        </is>
      </c>
      <c r="B30" s="187" t="inlineStr">
        <is>
          <t>W7</t>
        </is>
      </c>
      <c r="C30" s="187" t="inlineStr">
        <is>
          <t>7. Integration &amp; Dashboard</t>
        </is>
      </c>
      <c r="D30" s="187" t="inlineStr">
        <is>
          <t>Engineering</t>
        </is>
      </c>
      <c r="E30" s="188" t="inlineStr">
        <is>
          <t>Xây dựng logic giám sát hiện tượng trôi dạt dữ liệu (Concept Drift - PSI)</t>
        </is>
      </c>
      <c r="F30" s="188" t="inlineStr">
        <is>
          <t>Drift alert &amp; narrative</t>
        </is>
      </c>
      <c r="G30" s="187" t="inlineStr">
        <is>
          <t>TV2</t>
        </is>
      </c>
      <c r="H30" s="187" t="inlineStr">
        <is>
          <t>TV4</t>
        </is>
      </c>
      <c r="I30" s="187" t="inlineStr">
        <is>
          <t>TV1</t>
        </is>
      </c>
      <c r="J30" s="189" t="n">
        <v>46139</v>
      </c>
      <c r="K30" s="189" t="n">
        <v>46142</v>
      </c>
      <c r="L30" s="189" t="n"/>
      <c r="M30" s="189" t="n"/>
      <c r="N30" s="187" t="inlineStr">
        <is>
          <t>Cao</t>
        </is>
      </c>
      <c r="O30" s="190" t="n">
        <v>0</v>
      </c>
      <c r="P30" s="189" t="n"/>
      <c r="Q30" s="187" t="inlineStr">
        <is>
          <t>Không</t>
        </is>
      </c>
      <c r="R30" s="191">
        <f>IF($A30="","",IF($Q30="Có","Blocked",IF(OR($O30&gt;=1,$M30&lt;&gt;""),"Hoàn thành",IF(AND($K30&lt;CONFIG!$B$5,$A30&lt;&gt;""),"Trễ hạn",IF(AND($K30-CONFIG!$B$5&lt;=2,$K30&gt;=CONFIG!$B$5),"Sắp đến hạn",IF(OR($L30&lt;&gt;"",$O30&gt;0),"Đang thực hiện","Chưa bắt đầu"))))))</f>
        <v/>
      </c>
      <c r="S30" s="191" t="n"/>
      <c r="T30" s="188" t="n"/>
      <c r="U30" s="188" t="n"/>
      <c r="V30" s="188" t="n"/>
      <c r="W30" s="54" t="n"/>
    </row>
    <row r="31" ht="25.75" customHeight="1">
      <c r="A31" s="187" t="inlineStr">
        <is>
          <t>T25</t>
        </is>
      </c>
      <c r="B31" s="187" t="inlineStr">
        <is>
          <t>W7</t>
        </is>
      </c>
      <c r="C31" s="187" t="inlineStr">
        <is>
          <t>8. Report &amp; Demo</t>
        </is>
      </c>
      <c r="D31" s="187" t="inlineStr">
        <is>
          <t>QA</t>
        </is>
      </c>
      <c r="E31" s="188" t="inlineStr">
        <is>
          <t>Integration test end-to-end</t>
        </is>
      </c>
      <c r="F31" s="188" t="inlineStr">
        <is>
          <t>Test log + bug list</t>
        </is>
      </c>
      <c r="G31" s="187" t="inlineStr">
        <is>
          <t>TV4</t>
        </is>
      </c>
      <c r="H31" s="187" t="inlineStr">
        <is>
          <t>TV2</t>
        </is>
      </c>
      <c r="I31" s="187" t="inlineStr">
        <is>
          <t>TV5</t>
        </is>
      </c>
      <c r="J31" s="189" t="n">
        <v>46139</v>
      </c>
      <c r="K31" s="189" t="n">
        <v>46142</v>
      </c>
      <c r="L31" s="189" t="n"/>
      <c r="M31" s="189" t="n"/>
      <c r="N31" s="187" t="inlineStr">
        <is>
          <t>Cao</t>
        </is>
      </c>
      <c r="O31" s="190" t="n">
        <v>0</v>
      </c>
      <c r="P31" s="189" t="n"/>
      <c r="Q31" s="187" t="inlineStr">
        <is>
          <t>Không</t>
        </is>
      </c>
      <c r="R31" s="191">
        <f>IF($A31="","",IF($Q31="Có","Blocked",IF(OR($O31&gt;=1,$M31&lt;&gt;""),"Hoàn thành",IF(AND($K31&lt;CONFIG!$B$5,$A31&lt;&gt;""),"Trễ hạn",IF(AND($K31-CONFIG!$B$5&lt;=2,$K31&gt;=CONFIG!$B$5),"Sắp đến hạn",IF(OR($L31&lt;&gt;"",$O31&gt;0),"Đang thực hiện","Chưa bắt đầu"))))))</f>
        <v/>
      </c>
      <c r="S31" s="191" t="n"/>
      <c r="T31" s="188" t="inlineStr">
        <is>
          <t>T19,T20</t>
        </is>
      </c>
      <c r="U31" s="188" t="inlineStr">
        <is>
          <t>Test happy path và edge cases</t>
        </is>
      </c>
      <c r="V31" s="188" t="n"/>
      <c r="W31" s="47" t="inlineStr">
        <is>
          <t>Format chuẩn IEEE &lt;20 trang</t>
        </is>
      </c>
    </row>
    <row r="32" ht="18" customHeight="1">
      <c r="A32" s="187" t="inlineStr">
        <is>
          <t>T26</t>
        </is>
      </c>
      <c r="B32" s="187" t="inlineStr">
        <is>
          <t>W7</t>
        </is>
      </c>
      <c r="C32" s="187" t="inlineStr">
        <is>
          <t>8. Report &amp; Demo</t>
        </is>
      </c>
      <c r="D32" s="187" t="inlineStr">
        <is>
          <t>Research</t>
        </is>
      </c>
      <c r="E32" s="188" t="inlineStr">
        <is>
          <t>Viết report chương phương pháp và thực nghiệm</t>
        </is>
      </c>
      <c r="F32" s="188" t="inlineStr">
        <is>
          <t>Draft report chapters</t>
        </is>
      </c>
      <c r="G32" s="187" t="inlineStr">
        <is>
          <t>TV1</t>
        </is>
      </c>
      <c r="H32" s="187" t="inlineStr">
        <is>
          <t>TV3</t>
        </is>
      </c>
      <c r="I32" s="187" t="inlineStr">
        <is>
          <t>TV4</t>
        </is>
      </c>
      <c r="J32" s="189" t="n">
        <v>46139</v>
      </c>
      <c r="K32" s="189" t="n">
        <v>46144</v>
      </c>
      <c r="L32" s="189" t="n"/>
      <c r="M32" s="189" t="n"/>
      <c r="N32" s="187" t="inlineStr">
        <is>
          <t>Cao</t>
        </is>
      </c>
      <c r="O32" s="190" t="n">
        <v>0</v>
      </c>
      <c r="P32" s="189" t="n"/>
      <c r="Q32" s="187" t="inlineStr">
        <is>
          <t>Không</t>
        </is>
      </c>
      <c r="R32" s="191">
        <f>IF($A32="","",IF($Q32="Có","Blocked",IF(OR($O32&gt;=1,$M32&lt;&gt;""),"Hoàn thành",IF(AND($K32&lt;CONFIG!$B$5,$A32&lt;&gt;""),"Trễ hạn",IF(AND($K32-CONFIG!$B$5&lt;=2,$K32&gt;=CONFIG!$B$5),"Sắp đến hạn",IF(OR($L32&lt;&gt;"",$O32&gt;0),"Đang thực hiện","Chưa bắt đầu"))))))</f>
        <v/>
      </c>
      <c r="S32" s="191" t="n"/>
      <c r="T32" s="188" t="inlineStr">
        <is>
          <t>T21,T22</t>
        </is>
      </c>
      <c r="U32" s="188" t="inlineStr">
        <is>
          <t>Ghép hình / charts vào báo cáo</t>
        </is>
      </c>
      <c r="V32" s="188" t="n"/>
      <c r="W32" s="54" t="inlineStr">
        <is>
          <t>Theo feedback IF03</t>
        </is>
      </c>
    </row>
    <row r="33" ht="18" customHeight="1">
      <c r="A33" s="187" t="inlineStr">
        <is>
          <t>T27</t>
        </is>
      </c>
      <c r="B33" s="187" t="inlineStr">
        <is>
          <t>W7</t>
        </is>
      </c>
      <c r="C33" s="187" t="inlineStr">
        <is>
          <t>8. Report &amp; Demo</t>
        </is>
      </c>
      <c r="D33" s="187" t="inlineStr">
        <is>
          <t>Product</t>
        </is>
      </c>
      <c r="E33" s="188" t="inlineStr">
        <is>
          <t>Thiết kế slide storyboard và demo script</t>
        </is>
      </c>
      <c r="F33" s="188" t="inlineStr">
        <is>
          <t>Slides draft + demo script</t>
        </is>
      </c>
      <c r="G33" s="187" t="inlineStr">
        <is>
          <t>TV5</t>
        </is>
      </c>
      <c r="H33" s="187" t="inlineStr">
        <is>
          <t>TV1</t>
        </is>
      </c>
      <c r="I33" s="187" t="inlineStr">
        <is>
          <t>TV4</t>
        </is>
      </c>
      <c r="J33" s="189" t="n">
        <v>46141</v>
      </c>
      <c r="K33" s="189" t="n">
        <v>46144</v>
      </c>
      <c r="L33" s="189" t="n"/>
      <c r="M33" s="189" t="n"/>
      <c r="N33" s="187" t="inlineStr">
        <is>
          <t>Trung bình</t>
        </is>
      </c>
      <c r="O33" s="190" t="n">
        <v>0</v>
      </c>
      <c r="P33" s="189" t="n"/>
      <c r="Q33" s="187" t="inlineStr">
        <is>
          <t>Không</t>
        </is>
      </c>
      <c r="R33" s="191">
        <f>IF($A33="","",IF($Q33="Có","Blocked",IF(OR($O33&gt;=1,$M33&lt;&gt;""),"Hoàn thành",IF(AND($K33&lt;CONFIG!$B$5,$A33&lt;&gt;""),"Trễ hạn",IF(AND($K33-CONFIG!$B$5&lt;=2,$K33&gt;=CONFIG!$B$5),"Sắp đến hạn",IF(OR($L33&lt;&gt;"",$O33&gt;0),"Đang thực hiện","Chưa bắt đầu"))))))</f>
        <v/>
      </c>
      <c r="S33" s="191" t="n"/>
      <c r="T33" s="188" t="inlineStr">
        <is>
          <t>T20,T21</t>
        </is>
      </c>
      <c r="U33" s="188" t="inlineStr">
        <is>
          <t>Draft 1 để leader review</t>
        </is>
      </c>
      <c r="V33" s="188" t="n"/>
      <c r="W33" s="47" t="inlineStr">
        <is>
          <t>Leader chủ trì dry run session</t>
        </is>
      </c>
    </row>
    <row r="34" ht="18" customHeight="1">
      <c r="A34" s="187" t="inlineStr">
        <is>
          <t>T28</t>
        </is>
      </c>
      <c r="B34" s="187" t="inlineStr">
        <is>
          <t>W7</t>
        </is>
      </c>
      <c r="C34" s="187" t="inlineStr">
        <is>
          <t>8. Report &amp; Demo</t>
        </is>
      </c>
      <c r="D34" s="187" t="inlineStr">
        <is>
          <t>Research</t>
        </is>
      </c>
      <c r="E34" s="188" t="inlineStr">
        <is>
          <t>Chỉnh sửa report theo phản hồi review nội bộ</t>
        </is>
      </c>
      <c r="F34" s="188" t="inlineStr">
        <is>
          <t>Final report v1 + response notes</t>
        </is>
      </c>
      <c r="G34" s="187" t="inlineStr">
        <is>
          <t>TV1</t>
        </is>
      </c>
      <c r="H34" s="187" t="inlineStr">
        <is>
          <t>TV3</t>
        </is>
      </c>
      <c r="I34" s="187" t="inlineStr">
        <is>
          <t>TV4</t>
        </is>
      </c>
      <c r="J34" s="189" t="n">
        <v>46141</v>
      </c>
      <c r="K34" s="189" t="n">
        <v>46146</v>
      </c>
      <c r="L34" s="189" t="n"/>
      <c r="M34" s="189" t="n"/>
      <c r="N34" s="187" t="inlineStr">
        <is>
          <t>Cao</t>
        </is>
      </c>
      <c r="O34" s="190" t="n">
        <v>0</v>
      </c>
      <c r="P34" s="189" t="n"/>
      <c r="Q34" s="187" t="inlineStr">
        <is>
          <t>Không</t>
        </is>
      </c>
      <c r="R34" s="191">
        <f>IF($A34="","",IF($Q34="Có","Blocked",IF(OR($O34&gt;=1,$M34&lt;&gt;""),"Hoàn thành",IF(AND($K34&lt;CONFIG!$B$5,$A34&lt;&gt;""),"Trễ hạn",IF(AND($K34-CONFIG!$B$5&lt;=2,$K34&gt;=CONFIG!$B$5),"Sắp đến hạn",IF(OR($L34&lt;&gt;"",$O34&gt;0),"Đang thực hiện","Chưa bắt đầu"))))))</f>
        <v/>
      </c>
      <c r="S34" s="191" t="n"/>
      <c r="T34" s="188" t="inlineStr">
        <is>
          <t>T23</t>
        </is>
      </c>
      <c r="U34" s="188" t="inlineStr">
        <is>
          <t>Ưu tiên chương method và thực nghiệm</t>
        </is>
      </c>
      <c r="V34" s="188" t="n"/>
      <c r="W34" s="54" t="inlineStr">
        <is>
          <t>Backup drive + cloud link</t>
        </is>
      </c>
    </row>
    <row r="35" ht="18" customHeight="1">
      <c r="A35" s="187" t="inlineStr">
        <is>
          <t>T29</t>
        </is>
      </c>
      <c r="B35" s="187" t="inlineStr">
        <is>
          <t>W7</t>
        </is>
      </c>
      <c r="C35" s="187" t="inlineStr">
        <is>
          <t>8. Report &amp; Demo</t>
        </is>
      </c>
      <c r="D35" s="187" t="inlineStr">
        <is>
          <t>Product</t>
        </is>
      </c>
      <c r="E35" s="188" t="inlineStr">
        <is>
          <t>Hoàn thiện dashboard Streamlit cho demo bảo vệ</t>
        </is>
      </c>
      <c r="F35" s="188" t="inlineStr">
        <is>
          <t>Dashboard final v2 + demo script</t>
        </is>
      </c>
      <c r="G35" s="187" t="inlineStr">
        <is>
          <t>TV5</t>
        </is>
      </c>
      <c r="H35" s="187" t="inlineStr">
        <is>
          <t>TV2</t>
        </is>
      </c>
      <c r="I35" s="187" t="inlineStr">
        <is>
          <t>TV1</t>
        </is>
      </c>
      <c r="J35" s="189" t="n">
        <v>46141</v>
      </c>
      <c r="K35" s="189" t="n">
        <v>46146</v>
      </c>
      <c r="L35" s="189" t="n"/>
      <c r="M35" s="189" t="n"/>
      <c r="N35" s="187" t="inlineStr">
        <is>
          <t>Cao</t>
        </is>
      </c>
      <c r="O35" s="190" t="n">
        <v>0</v>
      </c>
      <c r="P35" s="189" t="n"/>
      <c r="Q35" s="187" t="inlineStr">
        <is>
          <t>Không</t>
        </is>
      </c>
      <c r="R35" s="191">
        <f>IF($A35="","",IF($Q35="Có","Blocked",IF(OR($O35&gt;=1,$M35&lt;&gt;""),"Hoàn thành",IF(AND($K35&lt;CONFIG!$B$5,$A35&lt;&gt;""),"Trễ hạn",IF(AND($K35-CONFIG!$B$5&lt;=2,$K35&gt;=CONFIG!$B$5),"Sắp đến hạn",IF(OR($L35&lt;&gt;"",$O35&gt;0),"Đang thực hiện","Chưa bắt đầu"))))))</f>
        <v/>
      </c>
      <c r="S35" s="191" t="n"/>
      <c r="T35" s="188" t="inlineStr">
        <is>
          <t>T20,T24</t>
        </is>
      </c>
      <c r="U35" s="188" t="inlineStr">
        <is>
          <t>Đơn giản hóa UI, thêm story flow</t>
        </is>
      </c>
      <c r="V35" s="188" t="n"/>
      <c r="W35" s="47" t="n"/>
    </row>
    <row r="36" ht="18" customHeight="1">
      <c r="A36" s="187" t="inlineStr">
        <is>
          <t>T30</t>
        </is>
      </c>
      <c r="B36" s="187" t="inlineStr">
        <is>
          <t>W8</t>
        </is>
      </c>
      <c r="C36" s="187" t="inlineStr">
        <is>
          <t>8. Report &amp; Demo</t>
        </is>
      </c>
      <c r="D36" s="187" t="inlineStr">
        <is>
          <t>QA</t>
        </is>
      </c>
      <c r="E36" s="188" t="inlineStr">
        <is>
          <t>Dry run bảo vệ + chuẩn bị Q&amp;A checklist</t>
        </is>
      </c>
      <c r="F36" s="188" t="inlineStr">
        <is>
          <t>Defense runbook + Q&amp;A prep</t>
        </is>
      </c>
      <c r="G36" s="187" t="inlineStr">
        <is>
          <t>TV4</t>
        </is>
      </c>
      <c r="H36" s="187" t="inlineStr">
        <is>
          <t>TV1</t>
        </is>
      </c>
      <c r="I36" s="187" t="inlineStr">
        <is>
          <t>TV5</t>
        </is>
      </c>
      <c r="J36" s="189" t="n">
        <v>46147</v>
      </c>
      <c r="K36" s="189" t="n">
        <v>46151</v>
      </c>
      <c r="L36" s="189" t="n"/>
      <c r="M36" s="189" t="n"/>
      <c r="N36" s="187" t="inlineStr">
        <is>
          <t>Cao</t>
        </is>
      </c>
      <c r="O36" s="190" t="n">
        <v>0</v>
      </c>
      <c r="P36" s="189" t="n"/>
      <c r="Q36" s="187" t="inlineStr">
        <is>
          <t>Không</t>
        </is>
      </c>
      <c r="R36" s="191">
        <f>IF($A36="","",IF($Q36="Có","Blocked",IF(OR($O36&gt;=1,$M36&lt;&gt;""),"Hoàn thành",IF(AND($K36&lt;CONFIG!$B$5,$A36&lt;&gt;""),"Trễ hạn",IF(AND($K36-CONFIG!$B$5&lt;=2,$K36&gt;=CONFIG!$B$5),"Sắp đến hạn",IF(OR($L36&lt;&gt;"",$O36&gt;0),"Đang thực hiện","Chưa bắt đầu"))))))</f>
        <v/>
      </c>
      <c r="S36" s="191" t="n"/>
      <c r="T36" s="188" t="inlineStr">
        <is>
          <t>T25,T26</t>
        </is>
      </c>
      <c r="U36" s="188" t="inlineStr">
        <is>
          <t>Thực hành 5-10 câu hỏi khó</t>
        </is>
      </c>
      <c r="V36" s="188" t="n"/>
      <c r="W36" s="54" t="n"/>
    </row>
    <row r="37" ht="18" customHeight="1">
      <c r="A37" s="187" t="inlineStr">
        <is>
          <t>T31</t>
        </is>
      </c>
      <c r="B37" s="187" t="inlineStr">
        <is>
          <t>W8</t>
        </is>
      </c>
      <c r="C37" s="187" t="inlineStr">
        <is>
          <t>8. Report &amp; Demo</t>
        </is>
      </c>
      <c r="D37" s="187" t="inlineStr">
        <is>
          <t>Governance</t>
        </is>
      </c>
      <c r="E37" s="188" t="inlineStr">
        <is>
          <t>Đóng gói final package và nộp đồ án</t>
        </is>
      </c>
      <c r="F37" s="188" t="inlineStr">
        <is>
          <t>Final package: report + code + dashboard + runbook</t>
        </is>
      </c>
      <c r="G37" s="187" t="inlineStr">
        <is>
          <t>TV1</t>
        </is>
      </c>
      <c r="H37" s="187" t="inlineStr">
        <is>
          <t>TV5</t>
        </is>
      </c>
      <c r="I37" s="187" t="inlineStr">
        <is>
          <t>TV4</t>
        </is>
      </c>
      <c r="J37" s="189" t="n">
        <v>46147</v>
      </c>
      <c r="K37" s="189" t="n">
        <v>46152</v>
      </c>
      <c r="L37" s="189" t="n"/>
      <c r="M37" s="189" t="n"/>
      <c r="N37" s="187" t="inlineStr">
        <is>
          <t>Cao</t>
        </is>
      </c>
      <c r="O37" s="190" t="n">
        <v>0</v>
      </c>
      <c r="P37" s="189" t="n"/>
      <c r="Q37" s="187" t="inlineStr">
        <is>
          <t>Không</t>
        </is>
      </c>
      <c r="R37" s="191">
        <f>IF($A37="","",IF($Q37="Có","Blocked",IF(OR($O37&gt;=1,$M37&lt;&gt;""),"Hoàn thành",IF(AND($K37&lt;CONFIG!$B$5,$A37&lt;&gt;""),"Trễ hạn",IF(AND($K37-CONFIG!$B$5&lt;=2,$K37&gt;=CONFIG!$B$5),"Sắp đến hạn",IF(OR($L37&lt;&gt;"",$O37&gt;0),"Đang thực hiện","Chưa bắt đầu"))))))</f>
        <v/>
      </c>
      <c r="S37" s="191" t="n"/>
      <c r="T37" s="188" t="inlineStr">
        <is>
          <t>T25,T26,T27</t>
        </is>
      </c>
      <c r="U37" s="188" t="inlineStr">
        <is>
          <t>Checklist nộp trước 24h deadline</t>
        </is>
      </c>
      <c r="V37" s="188" t="n"/>
      <c r="W37" s="47" t="n"/>
    </row>
    <row r="38" ht="18" customHeight="1">
      <c r="A38" s="53" t="n"/>
      <c r="B38" s="53" t="n"/>
      <c r="C38" s="53" t="n"/>
      <c r="D38" s="53" t="n"/>
      <c r="E38" s="54" t="n"/>
      <c r="F38" s="54" t="n"/>
      <c r="G38" s="55" t="n"/>
      <c r="H38" s="55" t="n"/>
      <c r="I38" s="55" t="n"/>
      <c r="J38" s="56" t="n"/>
      <c r="K38" s="56" t="n"/>
      <c r="L38" s="56" t="n"/>
      <c r="M38" s="56" t="n"/>
      <c r="N38" s="55" t="n"/>
      <c r="O38" s="57" t="n"/>
      <c r="P38" s="58" t="n"/>
      <c r="Q38" s="55" t="n"/>
      <c r="R38" s="52" t="n"/>
      <c r="S38" s="52" t="n"/>
      <c r="T38" s="54" t="n"/>
      <c r="U38" s="54" t="n"/>
      <c r="V38" s="54" t="n"/>
      <c r="W38" s="54" t="n"/>
    </row>
    <row r="39" ht="18" customHeight="1">
      <c r="A39" s="46" t="n"/>
      <c r="B39" s="46" t="n"/>
      <c r="C39" s="46" t="n"/>
      <c r="D39" s="46" t="n"/>
      <c r="E39" s="47" t="n"/>
      <c r="F39" s="47" t="n"/>
      <c r="G39" s="48" t="n"/>
      <c r="H39" s="48" t="n"/>
      <c r="I39" s="48" t="n"/>
      <c r="J39" s="49" t="n"/>
      <c r="K39" s="49" t="n"/>
      <c r="L39" s="49" t="n"/>
      <c r="M39" s="49" t="n"/>
      <c r="N39" s="48" t="n"/>
      <c r="O39" s="50" t="n"/>
      <c r="P39" s="51" t="n"/>
      <c r="Q39" s="48" t="n"/>
      <c r="R39" s="52" t="n"/>
      <c r="S39" s="52" t="n"/>
      <c r="T39" s="47" t="n"/>
      <c r="U39" s="47" t="n"/>
      <c r="V39" s="47" t="n"/>
      <c r="W39" s="47" t="n"/>
    </row>
    <row r="40" hidden="1" ht="18" customHeight="1">
      <c r="A40" s="53" t="n"/>
      <c r="B40" s="53" t="n"/>
      <c r="C40" s="53" t="n"/>
      <c r="D40" s="53" t="n"/>
      <c r="E40" s="54" t="n"/>
      <c r="F40" s="54" t="n"/>
      <c r="G40" s="55" t="n"/>
      <c r="H40" s="55" t="n"/>
      <c r="I40" s="55" t="n"/>
      <c r="J40" s="56" t="n"/>
      <c r="K40" s="56" t="n"/>
      <c r="L40" s="56" t="n"/>
      <c r="M40" s="56" t="n"/>
      <c r="N40" s="55" t="n"/>
      <c r="O40" s="57" t="n"/>
      <c r="P40" s="58" t="n"/>
      <c r="Q40" s="55" t="n"/>
      <c r="R40" s="52" t="n"/>
      <c r="S40" s="52" t="n"/>
      <c r="T40" s="54" t="n"/>
      <c r="U40" s="54" t="n"/>
      <c r="V40" s="54" t="n"/>
      <c r="W40" s="54" t="n"/>
    </row>
    <row r="41" hidden="1" ht="18" customHeight="1">
      <c r="A41" s="46" t="n"/>
      <c r="B41" s="46" t="n"/>
      <c r="C41" s="46" t="n"/>
      <c r="D41" s="46" t="n"/>
      <c r="E41" s="47" t="n"/>
      <c r="F41" s="47" t="n"/>
      <c r="G41" s="48" t="n"/>
      <c r="H41" s="48" t="n"/>
      <c r="I41" s="48" t="n"/>
      <c r="J41" s="49" t="n"/>
      <c r="K41" s="49" t="n"/>
      <c r="L41" s="49" t="n"/>
      <c r="M41" s="49" t="n"/>
      <c r="N41" s="48" t="n"/>
      <c r="O41" s="50" t="n"/>
      <c r="P41" s="51" t="n"/>
      <c r="Q41" s="48" t="n"/>
      <c r="R41" s="52" t="n"/>
      <c r="S41" s="52" t="n"/>
      <c r="T41" s="47" t="n"/>
      <c r="U41" s="47" t="n"/>
      <c r="V41" s="47" t="n"/>
      <c r="W41" s="47" t="n"/>
    </row>
    <row r="42" hidden="1" ht="18" customHeight="1">
      <c r="A42" s="53" t="n"/>
      <c r="B42" s="53" t="n"/>
      <c r="C42" s="53" t="n"/>
      <c r="D42" s="53" t="n"/>
      <c r="E42" s="54" t="n"/>
      <c r="F42" s="54" t="n"/>
      <c r="G42" s="55" t="n"/>
      <c r="H42" s="55" t="n"/>
      <c r="I42" s="55" t="n"/>
      <c r="J42" s="56" t="n"/>
      <c r="K42" s="56" t="n"/>
      <c r="L42" s="56" t="n"/>
      <c r="M42" s="56" t="n"/>
      <c r="N42" s="55" t="n"/>
      <c r="O42" s="57" t="n"/>
      <c r="P42" s="58" t="n"/>
      <c r="Q42" s="55" t="n"/>
      <c r="R42" s="52" t="n"/>
      <c r="S42" s="52" t="n"/>
      <c r="T42" s="54" t="n"/>
      <c r="U42" s="54" t="n"/>
      <c r="V42" s="54" t="n"/>
      <c r="W42" s="54" t="n"/>
    </row>
    <row r="43" hidden="1" ht="18" customHeight="1">
      <c r="A43" s="46" t="n"/>
      <c r="B43" s="46" t="n"/>
      <c r="C43" s="46" t="n"/>
      <c r="D43" s="46" t="n"/>
      <c r="E43" s="47" t="n"/>
      <c r="F43" s="47" t="n"/>
      <c r="G43" s="48" t="n"/>
      <c r="H43" s="48" t="n"/>
      <c r="I43" s="48" t="n"/>
      <c r="J43" s="49" t="n"/>
      <c r="K43" s="49" t="n"/>
      <c r="L43" s="49" t="n"/>
      <c r="M43" s="49" t="n"/>
      <c r="N43" s="48" t="n"/>
      <c r="O43" s="50" t="n"/>
      <c r="P43" s="51" t="n"/>
      <c r="Q43" s="48" t="n"/>
      <c r="R43" s="52" t="n"/>
      <c r="S43" s="52" t="n"/>
      <c r="T43" s="47" t="n"/>
      <c r="U43" s="47" t="n"/>
      <c r="V43" s="47" t="n"/>
      <c r="W43" s="47" t="n"/>
    </row>
    <row r="44" hidden="1" ht="18" customHeight="1">
      <c r="A44" s="53" t="n"/>
      <c r="B44" s="53" t="n"/>
      <c r="C44" s="53" t="n"/>
      <c r="D44" s="53" t="n"/>
      <c r="E44" s="54" t="n"/>
      <c r="F44" s="54" t="n"/>
      <c r="G44" s="55" t="n"/>
      <c r="H44" s="55" t="n"/>
      <c r="I44" s="55" t="n"/>
      <c r="J44" s="56" t="n"/>
      <c r="K44" s="56" t="n"/>
      <c r="L44" s="56" t="n"/>
      <c r="M44" s="56" t="n"/>
      <c r="N44" s="55" t="n"/>
      <c r="O44" s="57" t="n"/>
      <c r="P44" s="58" t="n"/>
      <c r="Q44" s="55" t="n"/>
      <c r="R44" s="52" t="n"/>
      <c r="S44" s="52" t="n"/>
      <c r="T44" s="54" t="n"/>
      <c r="U44" s="54" t="n"/>
      <c r="V44" s="54" t="n"/>
      <c r="W44" s="54" t="n"/>
    </row>
    <row r="45" hidden="1" ht="18" customHeight="1">
      <c r="A45" s="46" t="n"/>
      <c r="B45" s="46" t="n"/>
      <c r="C45" s="46" t="n"/>
      <c r="D45" s="46" t="n"/>
      <c r="E45" s="47" t="n"/>
      <c r="F45" s="47" t="n"/>
      <c r="G45" s="48" t="n"/>
      <c r="H45" s="48" t="n"/>
      <c r="I45" s="48" t="n"/>
      <c r="J45" s="49" t="n"/>
      <c r="K45" s="49" t="n"/>
      <c r="L45" s="49" t="n"/>
      <c r="M45" s="49" t="n"/>
      <c r="N45" s="48" t="n"/>
      <c r="O45" s="50" t="n"/>
      <c r="P45" s="51" t="n"/>
      <c r="Q45" s="48" t="n"/>
      <c r="R45" s="52" t="n"/>
      <c r="S45" s="52" t="n"/>
      <c r="T45" s="47" t="n"/>
      <c r="U45" s="47" t="n"/>
      <c r="V45" s="47" t="n"/>
      <c r="W45" s="47" t="n"/>
    </row>
    <row r="46" hidden="1" ht="18" customHeight="1">
      <c r="A46" s="53" t="n"/>
      <c r="B46" s="53" t="n"/>
      <c r="C46" s="53" t="n"/>
      <c r="D46" s="53" t="n"/>
      <c r="E46" s="54" t="n"/>
      <c r="F46" s="54" t="n"/>
      <c r="G46" s="55" t="n"/>
      <c r="H46" s="55" t="n"/>
      <c r="I46" s="55" t="n"/>
      <c r="J46" s="56" t="n"/>
      <c r="K46" s="56" t="n"/>
      <c r="L46" s="56" t="n"/>
      <c r="M46" s="56" t="n"/>
      <c r="N46" s="55" t="n"/>
      <c r="O46" s="57" t="n"/>
      <c r="P46" s="58" t="n"/>
      <c r="Q46" s="55" t="n"/>
      <c r="R46" s="52" t="n"/>
      <c r="S46" s="52" t="n"/>
      <c r="T46" s="54" t="n"/>
      <c r="U46" s="54" t="n"/>
      <c r="V46" s="54" t="n"/>
      <c r="W46" s="54" t="n"/>
    </row>
    <row r="47" hidden="1" ht="18" customHeight="1">
      <c r="A47" s="46" t="n"/>
      <c r="B47" s="46" t="n"/>
      <c r="C47" s="46" t="n"/>
      <c r="D47" s="46" t="n"/>
      <c r="E47" s="47" t="n"/>
      <c r="F47" s="47" t="n"/>
      <c r="G47" s="48" t="n"/>
      <c r="H47" s="48" t="n"/>
      <c r="I47" s="48" t="n"/>
      <c r="J47" s="49" t="n"/>
      <c r="K47" s="49" t="n"/>
      <c r="L47" s="49" t="n"/>
      <c r="M47" s="49" t="n"/>
      <c r="N47" s="48" t="n"/>
      <c r="O47" s="50" t="n"/>
      <c r="P47" s="51" t="n"/>
      <c r="Q47" s="48" t="n"/>
      <c r="R47" s="52" t="n"/>
      <c r="S47" s="52" t="n"/>
      <c r="T47" s="47" t="n"/>
      <c r="U47" s="47" t="n"/>
      <c r="V47" s="47" t="n"/>
      <c r="W47" s="47" t="n"/>
    </row>
    <row r="48" hidden="1" ht="18" customHeight="1">
      <c r="A48" s="53" t="n"/>
      <c r="B48" s="53" t="n"/>
      <c r="C48" s="53" t="n"/>
      <c r="D48" s="53" t="n"/>
      <c r="E48" s="54" t="n"/>
      <c r="F48" s="54" t="n"/>
      <c r="G48" s="55" t="n"/>
      <c r="H48" s="55" t="n"/>
      <c r="I48" s="55" t="n"/>
      <c r="J48" s="56" t="n"/>
      <c r="K48" s="56" t="n"/>
      <c r="L48" s="56" t="n"/>
      <c r="M48" s="56" t="n"/>
      <c r="N48" s="55" t="n"/>
      <c r="O48" s="57" t="n"/>
      <c r="P48" s="58" t="n"/>
      <c r="Q48" s="55" t="n"/>
      <c r="R48" s="52" t="n"/>
      <c r="S48" s="52" t="n"/>
      <c r="T48" s="54" t="n"/>
      <c r="U48" s="54" t="n"/>
      <c r="V48" s="54" t="n"/>
      <c r="W48" s="54" t="n"/>
    </row>
    <row r="49" hidden="1" ht="18" customHeight="1">
      <c r="A49" s="46" t="n"/>
      <c r="B49" s="46" t="n"/>
      <c r="C49" s="46" t="n"/>
      <c r="D49" s="46" t="n"/>
      <c r="E49" s="47" t="n"/>
      <c r="F49" s="47" t="n"/>
      <c r="G49" s="48" t="n"/>
      <c r="H49" s="48" t="n"/>
      <c r="I49" s="48" t="n"/>
      <c r="J49" s="49" t="n"/>
      <c r="K49" s="49" t="n"/>
      <c r="L49" s="49" t="n"/>
      <c r="M49" s="49" t="n"/>
      <c r="N49" s="48" t="n"/>
      <c r="O49" s="50" t="n"/>
      <c r="P49" s="51" t="n"/>
      <c r="Q49" s="48" t="n"/>
      <c r="R49" s="52" t="n"/>
      <c r="S49" s="52" t="n"/>
      <c r="T49" s="47" t="n"/>
      <c r="U49" s="47" t="n"/>
      <c r="V49" s="47" t="n"/>
      <c r="W49" s="47" t="n"/>
    </row>
    <row r="50" hidden="1" ht="18" customHeight="1">
      <c r="A50" s="53" t="n"/>
      <c r="B50" s="53" t="n"/>
      <c r="C50" s="53" t="n"/>
      <c r="D50" s="53" t="n"/>
      <c r="E50" s="54" t="n"/>
      <c r="F50" s="54" t="n"/>
      <c r="G50" s="55" t="n"/>
      <c r="H50" s="55" t="n"/>
      <c r="I50" s="55" t="n"/>
      <c r="J50" s="56" t="n"/>
      <c r="K50" s="56" t="n"/>
      <c r="L50" s="56" t="n"/>
      <c r="M50" s="56" t="n"/>
      <c r="N50" s="55" t="n"/>
      <c r="O50" s="57" t="n"/>
      <c r="P50" s="58" t="n"/>
      <c r="Q50" s="55" t="n"/>
      <c r="R50" s="52" t="n"/>
      <c r="S50" s="52" t="n"/>
      <c r="T50" s="54" t="n"/>
      <c r="U50" s="54" t="n"/>
      <c r="V50" s="54" t="n"/>
      <c r="W50" s="54" t="n"/>
    </row>
    <row r="51" hidden="1" ht="18" customHeight="1">
      <c r="A51" s="46" t="n"/>
      <c r="B51" s="46" t="n"/>
      <c r="C51" s="46" t="n"/>
      <c r="D51" s="46" t="n"/>
      <c r="E51" s="47" t="n"/>
      <c r="F51" s="47" t="n"/>
      <c r="G51" s="48" t="n"/>
      <c r="H51" s="48" t="n"/>
      <c r="I51" s="48" t="n"/>
      <c r="J51" s="49" t="n"/>
      <c r="K51" s="49" t="n"/>
      <c r="L51" s="49" t="n"/>
      <c r="M51" s="49" t="n"/>
      <c r="N51" s="48" t="n"/>
      <c r="O51" s="50" t="n"/>
      <c r="P51" s="51" t="n"/>
      <c r="Q51" s="48" t="n"/>
      <c r="R51" s="52" t="n"/>
      <c r="S51" s="52" t="n"/>
      <c r="T51" s="47" t="n"/>
      <c r="U51" s="47" t="n"/>
      <c r="V51" s="47" t="n"/>
      <c r="W51" s="47" t="n"/>
    </row>
    <row r="52" hidden="1" ht="18" customHeight="1">
      <c r="A52" s="53" t="n"/>
      <c r="B52" s="53" t="n"/>
      <c r="C52" s="53" t="n"/>
      <c r="D52" s="53" t="n"/>
      <c r="E52" s="54" t="n"/>
      <c r="F52" s="54" t="n"/>
      <c r="G52" s="55" t="n"/>
      <c r="H52" s="55" t="n"/>
      <c r="I52" s="55" t="n"/>
      <c r="J52" s="56" t="n"/>
      <c r="K52" s="56" t="n"/>
      <c r="L52" s="56" t="n"/>
      <c r="M52" s="56" t="n"/>
      <c r="N52" s="55" t="n"/>
      <c r="O52" s="57" t="n"/>
      <c r="P52" s="58" t="n"/>
      <c r="Q52" s="55" t="n"/>
      <c r="R52" s="52" t="n"/>
      <c r="S52" s="52" t="n"/>
      <c r="T52" s="54" t="n"/>
      <c r="U52" s="54" t="n"/>
      <c r="V52" s="54" t="n"/>
      <c r="W52" s="54" t="n"/>
    </row>
    <row r="53" hidden="1" ht="18" customHeight="1">
      <c r="A53" s="46" t="n"/>
      <c r="B53" s="46" t="n"/>
      <c r="C53" s="46" t="n"/>
      <c r="D53" s="46" t="n"/>
      <c r="E53" s="47" t="n"/>
      <c r="F53" s="47" t="n"/>
      <c r="G53" s="48" t="n"/>
      <c r="H53" s="48" t="n"/>
      <c r="I53" s="48" t="n"/>
      <c r="J53" s="49" t="n"/>
      <c r="K53" s="49" t="n"/>
      <c r="L53" s="49" t="n"/>
      <c r="M53" s="49" t="n"/>
      <c r="N53" s="48" t="n"/>
      <c r="O53" s="50" t="n"/>
      <c r="P53" s="51" t="n"/>
      <c r="Q53" s="48" t="n"/>
      <c r="R53" s="52" t="n"/>
      <c r="S53" s="52" t="n"/>
      <c r="T53" s="47" t="n"/>
      <c r="U53" s="47" t="n"/>
      <c r="V53" s="47" t="n"/>
      <c r="W53" s="47" t="n"/>
    </row>
    <row r="54" hidden="1" ht="18" customHeight="1">
      <c r="A54" s="53" t="n"/>
      <c r="B54" s="53" t="n"/>
      <c r="C54" s="53" t="n"/>
      <c r="D54" s="53" t="n"/>
      <c r="E54" s="54" t="n"/>
      <c r="F54" s="54" t="n"/>
      <c r="G54" s="55" t="n"/>
      <c r="H54" s="55" t="n"/>
      <c r="I54" s="55" t="n"/>
      <c r="J54" s="56" t="n"/>
      <c r="K54" s="56" t="n"/>
      <c r="L54" s="56" t="n"/>
      <c r="M54" s="56" t="n"/>
      <c r="N54" s="55" t="n"/>
      <c r="O54" s="57" t="n"/>
      <c r="P54" s="58" t="n"/>
      <c r="Q54" s="55" t="n"/>
      <c r="R54" s="52" t="n"/>
      <c r="S54" s="52" t="n"/>
      <c r="T54" s="54" t="n"/>
      <c r="U54" s="54" t="n"/>
      <c r="V54" s="54" t="n"/>
      <c r="W54" s="54" t="n"/>
    </row>
    <row r="55" hidden="1" ht="18" customHeight="1">
      <c r="A55" s="46" t="n"/>
      <c r="B55" s="46" t="n"/>
      <c r="C55" s="46" t="n"/>
      <c r="D55" s="46" t="n"/>
      <c r="E55" s="47" t="n"/>
      <c r="F55" s="47" t="n"/>
      <c r="G55" s="48" t="n"/>
      <c r="H55" s="48" t="n"/>
      <c r="I55" s="48" t="n"/>
      <c r="J55" s="49" t="n"/>
      <c r="K55" s="49" t="n"/>
      <c r="L55" s="49" t="n"/>
      <c r="M55" s="49" t="n"/>
      <c r="N55" s="48" t="n"/>
      <c r="O55" s="50" t="n"/>
      <c r="P55" s="51" t="n"/>
      <c r="Q55" s="48" t="n"/>
      <c r="R55" s="52" t="n"/>
      <c r="S55" s="52" t="n"/>
      <c r="T55" s="47" t="n"/>
      <c r="U55" s="47" t="n"/>
      <c r="V55" s="47" t="n"/>
      <c r="W55" s="47" t="n"/>
    </row>
    <row r="56" hidden="1" ht="18" customHeight="1">
      <c r="A56" s="53" t="n"/>
      <c r="B56" s="53" t="n"/>
      <c r="C56" s="53" t="n"/>
      <c r="D56" s="53" t="n"/>
      <c r="E56" s="54" t="n"/>
      <c r="F56" s="54" t="n"/>
      <c r="G56" s="55" t="n"/>
      <c r="H56" s="55" t="n"/>
      <c r="I56" s="55" t="n"/>
      <c r="J56" s="56" t="n"/>
      <c r="K56" s="56" t="n"/>
      <c r="L56" s="56" t="n"/>
      <c r="M56" s="56" t="n"/>
      <c r="N56" s="55" t="n"/>
      <c r="O56" s="57" t="n"/>
      <c r="P56" s="58" t="n"/>
      <c r="Q56" s="55" t="n"/>
      <c r="R56" s="52" t="n"/>
      <c r="S56" s="52" t="n"/>
      <c r="T56" s="54" t="n"/>
      <c r="U56" s="54" t="n"/>
      <c r="V56" s="54" t="n"/>
      <c r="W56" s="54" t="n"/>
    </row>
    <row r="57" hidden="1" ht="18" customHeight="1">
      <c r="A57" s="46" t="n"/>
      <c r="B57" s="46" t="n"/>
      <c r="C57" s="46" t="n"/>
      <c r="D57" s="46" t="n"/>
      <c r="E57" s="47" t="n"/>
      <c r="F57" s="47" t="n"/>
      <c r="G57" s="48" t="n"/>
      <c r="H57" s="48" t="n"/>
      <c r="I57" s="48" t="n"/>
      <c r="J57" s="49" t="n"/>
      <c r="K57" s="49" t="n"/>
      <c r="L57" s="49" t="n"/>
      <c r="M57" s="49" t="n"/>
      <c r="N57" s="48" t="n"/>
      <c r="O57" s="50" t="n"/>
      <c r="P57" s="51" t="n"/>
      <c r="Q57" s="48" t="n"/>
      <c r="R57" s="52" t="n"/>
      <c r="S57" s="52" t="n"/>
      <c r="T57" s="47" t="n"/>
      <c r="U57" s="47" t="n"/>
      <c r="V57" s="47" t="n"/>
      <c r="W57" s="47" t="n"/>
    </row>
    <row r="58" hidden="1" ht="18" customHeight="1">
      <c r="A58" s="53" t="n"/>
      <c r="B58" s="53" t="n"/>
      <c r="C58" s="53" t="n"/>
      <c r="D58" s="53" t="n"/>
      <c r="E58" s="54" t="n"/>
      <c r="F58" s="54" t="n"/>
      <c r="G58" s="55" t="n"/>
      <c r="H58" s="55" t="n"/>
      <c r="I58" s="55" t="n"/>
      <c r="J58" s="56" t="n"/>
      <c r="K58" s="56" t="n"/>
      <c r="L58" s="56" t="n"/>
      <c r="M58" s="56" t="n"/>
      <c r="N58" s="55" t="n"/>
      <c r="O58" s="57" t="n"/>
      <c r="P58" s="58" t="n"/>
      <c r="Q58" s="55" t="n"/>
      <c r="R58" s="52" t="n"/>
      <c r="S58" s="52" t="n"/>
      <c r="T58" s="54" t="n"/>
      <c r="U58" s="54" t="n"/>
      <c r="V58" s="54" t="n"/>
      <c r="W58" s="54" t="n"/>
    </row>
    <row r="59" hidden="1" ht="18" customHeight="1">
      <c r="A59" s="46" t="n"/>
      <c r="B59" s="46" t="n"/>
      <c r="C59" s="46" t="n"/>
      <c r="D59" s="46" t="n"/>
      <c r="E59" s="47" t="n"/>
      <c r="F59" s="47" t="n"/>
      <c r="G59" s="48" t="n"/>
      <c r="H59" s="48" t="n"/>
      <c r="I59" s="48" t="n"/>
      <c r="J59" s="49" t="n"/>
      <c r="K59" s="49" t="n"/>
      <c r="L59" s="49" t="n"/>
      <c r="M59" s="49" t="n"/>
      <c r="N59" s="48" t="n"/>
      <c r="O59" s="50" t="n"/>
      <c r="P59" s="51" t="n"/>
      <c r="Q59" s="48" t="n"/>
      <c r="R59" s="52" t="n"/>
      <c r="S59" s="52" t="n"/>
      <c r="T59" s="47" t="n"/>
      <c r="U59" s="47" t="n"/>
      <c r="V59" s="47" t="n"/>
      <c r="W59" s="47" t="n"/>
    </row>
    <row r="60" hidden="1" ht="18" customHeight="1">
      <c r="A60" s="53" t="n"/>
      <c r="B60" s="53" t="n"/>
      <c r="C60" s="53" t="n"/>
      <c r="D60" s="53" t="n"/>
      <c r="E60" s="54" t="n"/>
      <c r="F60" s="54" t="n"/>
      <c r="G60" s="55" t="n"/>
      <c r="H60" s="55" t="n"/>
      <c r="I60" s="55" t="n"/>
      <c r="J60" s="56" t="n"/>
      <c r="K60" s="56" t="n"/>
      <c r="L60" s="56" t="n"/>
      <c r="M60" s="56" t="n"/>
      <c r="N60" s="55" t="n"/>
      <c r="O60" s="57" t="n"/>
      <c r="P60" s="58" t="n"/>
      <c r="Q60" s="55" t="n"/>
      <c r="R60" s="52" t="n"/>
      <c r="S60" s="52" t="n"/>
      <c r="T60" s="54" t="n"/>
      <c r="U60" s="54" t="n"/>
      <c r="V60" s="54" t="n"/>
      <c r="W60" s="54" t="n"/>
    </row>
    <row r="61" hidden="1" ht="18" customHeight="1">
      <c r="A61" s="46" t="n"/>
      <c r="B61" s="46" t="n"/>
      <c r="C61" s="46" t="n"/>
      <c r="D61" s="46" t="n"/>
      <c r="E61" s="47" t="n"/>
      <c r="F61" s="47" t="n"/>
      <c r="G61" s="48" t="n"/>
      <c r="H61" s="48" t="n"/>
      <c r="I61" s="48" t="n"/>
      <c r="J61" s="49" t="n"/>
      <c r="K61" s="49" t="n"/>
      <c r="L61" s="49" t="n"/>
      <c r="M61" s="49" t="n"/>
      <c r="N61" s="48" t="n"/>
      <c r="O61" s="50" t="n"/>
      <c r="P61" s="51" t="n"/>
      <c r="Q61" s="48" t="n"/>
      <c r="R61" s="52" t="n"/>
      <c r="S61" s="52" t="n"/>
      <c r="T61" s="47" t="n"/>
      <c r="U61" s="47" t="n"/>
      <c r="V61" s="47" t="n"/>
      <c r="W61" s="47" t="n"/>
    </row>
    <row r="62" hidden="1" ht="18" customHeight="1">
      <c r="A62" s="53" t="n"/>
      <c r="B62" s="53" t="n"/>
      <c r="C62" s="53" t="n"/>
      <c r="D62" s="53" t="n"/>
      <c r="E62" s="54" t="n"/>
      <c r="F62" s="54" t="n"/>
      <c r="G62" s="55" t="n"/>
      <c r="H62" s="55" t="n"/>
      <c r="I62" s="55" t="n"/>
      <c r="J62" s="56" t="n"/>
      <c r="K62" s="56" t="n"/>
      <c r="L62" s="56" t="n"/>
      <c r="M62" s="56" t="n"/>
      <c r="N62" s="55" t="n"/>
      <c r="O62" s="57" t="n"/>
      <c r="P62" s="58" t="n"/>
      <c r="Q62" s="55" t="n"/>
      <c r="R62" s="52" t="n"/>
      <c r="S62" s="52" t="n"/>
      <c r="T62" s="54" t="n"/>
      <c r="U62" s="54" t="n"/>
      <c r="V62" s="54" t="n"/>
      <c r="W62" s="54" t="n"/>
    </row>
    <row r="63" hidden="1" ht="18" customHeight="1">
      <c r="A63" s="46" t="n"/>
      <c r="B63" s="46" t="n"/>
      <c r="C63" s="46" t="n"/>
      <c r="D63" s="46" t="n"/>
      <c r="E63" s="47" t="n"/>
      <c r="F63" s="47" t="n"/>
      <c r="G63" s="48" t="n"/>
      <c r="H63" s="48" t="n"/>
      <c r="I63" s="48" t="n"/>
      <c r="J63" s="49" t="n"/>
      <c r="K63" s="49" t="n"/>
      <c r="L63" s="49" t="n"/>
      <c r="M63" s="49" t="n"/>
      <c r="N63" s="48" t="n"/>
      <c r="O63" s="50" t="n"/>
      <c r="P63" s="51" t="n"/>
      <c r="Q63" s="48" t="n"/>
      <c r="R63" s="52" t="n"/>
      <c r="S63" s="52" t="n"/>
      <c r="T63" s="47" t="n"/>
      <c r="U63" s="47" t="n"/>
      <c r="V63" s="47" t="n"/>
      <c r="W63" s="47" t="n"/>
    </row>
    <row r="64" hidden="1" ht="18" customHeight="1">
      <c r="A64" s="53" t="n"/>
      <c r="B64" s="53" t="n"/>
      <c r="C64" s="53" t="n"/>
      <c r="D64" s="53" t="n"/>
      <c r="E64" s="54" t="n"/>
      <c r="F64" s="54" t="n"/>
      <c r="G64" s="55" t="n"/>
      <c r="H64" s="55" t="n"/>
      <c r="I64" s="55" t="n"/>
      <c r="J64" s="56" t="n"/>
      <c r="K64" s="56" t="n"/>
      <c r="L64" s="56" t="n"/>
      <c r="M64" s="56" t="n"/>
      <c r="N64" s="55" t="n"/>
      <c r="O64" s="57" t="n"/>
      <c r="P64" s="58" t="n"/>
      <c r="Q64" s="55" t="n"/>
      <c r="R64" s="52" t="n"/>
      <c r="S64" s="52" t="n"/>
      <c r="T64" s="54" t="n"/>
      <c r="U64" s="54" t="n"/>
      <c r="V64" s="54" t="n"/>
      <c r="W64" s="54" t="n"/>
    </row>
    <row r="65" hidden="1" ht="18" customHeight="1">
      <c r="A65" s="46" t="n"/>
      <c r="B65" s="46" t="n"/>
      <c r="C65" s="46" t="n"/>
      <c r="D65" s="46" t="n"/>
      <c r="E65" s="47" t="n"/>
      <c r="F65" s="47" t="n"/>
      <c r="G65" s="48" t="n"/>
      <c r="H65" s="48" t="n"/>
      <c r="I65" s="48" t="n"/>
      <c r="J65" s="49" t="n"/>
      <c r="K65" s="49" t="n"/>
      <c r="L65" s="49" t="n"/>
      <c r="M65" s="49" t="n"/>
      <c r="N65" s="48" t="n"/>
      <c r="O65" s="50" t="n"/>
      <c r="P65" s="51" t="n"/>
      <c r="Q65" s="48" t="n"/>
      <c r="R65" s="52" t="n"/>
      <c r="S65" s="52" t="n"/>
      <c r="T65" s="47" t="n"/>
      <c r="U65" s="47" t="n"/>
      <c r="V65" s="47" t="n"/>
      <c r="W65" s="47" t="n"/>
    </row>
    <row r="66" hidden="1" ht="18" customHeight="1">
      <c r="A66" s="53" t="n"/>
      <c r="B66" s="53" t="n"/>
      <c r="C66" s="53" t="n"/>
      <c r="D66" s="53" t="n"/>
      <c r="E66" s="54" t="n"/>
      <c r="F66" s="54" t="n"/>
      <c r="G66" s="55" t="n"/>
      <c r="H66" s="55" t="n"/>
      <c r="I66" s="55" t="n"/>
      <c r="J66" s="56" t="n"/>
      <c r="K66" s="56" t="n"/>
      <c r="L66" s="56" t="n"/>
      <c r="M66" s="56" t="n"/>
      <c r="N66" s="55" t="n"/>
      <c r="O66" s="57" t="n"/>
      <c r="P66" s="58" t="n"/>
      <c r="Q66" s="55" t="n"/>
      <c r="R66" s="52" t="n"/>
      <c r="S66" s="52" t="n"/>
      <c r="T66" s="54" t="n"/>
      <c r="U66" s="54" t="n"/>
      <c r="V66" s="54" t="n"/>
      <c r="W66" s="54" t="n"/>
    </row>
    <row r="67" hidden="1" ht="18" customHeight="1">
      <c r="A67" s="46" t="n"/>
      <c r="B67" s="46" t="n"/>
      <c r="C67" s="46" t="n"/>
      <c r="D67" s="46" t="n"/>
      <c r="E67" s="47" t="n"/>
      <c r="F67" s="47" t="n"/>
      <c r="G67" s="48" t="n"/>
      <c r="H67" s="48" t="n"/>
      <c r="I67" s="48" t="n"/>
      <c r="J67" s="49" t="n"/>
      <c r="K67" s="49" t="n"/>
      <c r="L67" s="49" t="n"/>
      <c r="M67" s="49" t="n"/>
      <c r="N67" s="48" t="n"/>
      <c r="O67" s="50" t="n"/>
      <c r="P67" s="51" t="n"/>
      <c r="Q67" s="48" t="n"/>
      <c r="R67" s="52" t="n"/>
      <c r="S67" s="52" t="n"/>
      <c r="T67" s="47" t="n"/>
      <c r="U67" s="47" t="n"/>
      <c r="V67" s="47" t="n"/>
      <c r="W67" s="47" t="n"/>
    </row>
    <row r="68" hidden="1" ht="18" customHeight="1">
      <c r="A68" s="53" t="n"/>
      <c r="B68" s="53" t="n"/>
      <c r="C68" s="53" t="n"/>
      <c r="D68" s="53" t="n"/>
      <c r="E68" s="54" t="n"/>
      <c r="F68" s="54" t="n"/>
      <c r="G68" s="55" t="n"/>
      <c r="H68" s="55" t="n"/>
      <c r="I68" s="55" t="n"/>
      <c r="J68" s="56" t="n"/>
      <c r="K68" s="56" t="n"/>
      <c r="L68" s="56" t="n"/>
      <c r="M68" s="56" t="n"/>
      <c r="N68" s="55" t="n"/>
      <c r="O68" s="57" t="n"/>
      <c r="P68" s="58" t="n"/>
      <c r="Q68" s="55" t="n"/>
      <c r="R68" s="52" t="n"/>
      <c r="S68" s="52" t="n"/>
      <c r="T68" s="54" t="n"/>
      <c r="U68" s="54" t="n"/>
      <c r="V68" s="54" t="n"/>
      <c r="W68" s="54" t="n"/>
    </row>
    <row r="69" hidden="1" ht="18" customHeight="1">
      <c r="A69" s="46" t="n"/>
      <c r="B69" s="46" t="n"/>
      <c r="C69" s="46" t="n"/>
      <c r="D69" s="46" t="n"/>
      <c r="E69" s="47" t="n"/>
      <c r="F69" s="47" t="n"/>
      <c r="G69" s="48" t="n"/>
      <c r="H69" s="48" t="n"/>
      <c r="I69" s="48" t="n"/>
      <c r="J69" s="49" t="n"/>
      <c r="K69" s="49" t="n"/>
      <c r="L69" s="49" t="n"/>
      <c r="M69" s="49" t="n"/>
      <c r="N69" s="48" t="n"/>
      <c r="O69" s="50" t="n"/>
      <c r="P69" s="51" t="n"/>
      <c r="Q69" s="48" t="n"/>
      <c r="R69" s="52" t="n"/>
      <c r="S69" s="52" t="n"/>
      <c r="T69" s="47" t="n"/>
      <c r="U69" s="47" t="n"/>
      <c r="V69" s="47" t="n"/>
      <c r="W69" s="47" t="n"/>
    </row>
    <row r="70" hidden="1" ht="18" customHeight="1">
      <c r="A70" s="53" t="n"/>
      <c r="B70" s="53" t="n"/>
      <c r="C70" s="53" t="n"/>
      <c r="D70" s="53" t="n"/>
      <c r="E70" s="54" t="n"/>
      <c r="F70" s="54" t="n"/>
      <c r="G70" s="55" t="n"/>
      <c r="H70" s="55" t="n"/>
      <c r="I70" s="55" t="n"/>
      <c r="J70" s="56" t="n"/>
      <c r="K70" s="56" t="n"/>
      <c r="L70" s="56" t="n"/>
      <c r="M70" s="56" t="n"/>
      <c r="N70" s="55" t="n"/>
      <c r="O70" s="57" t="n"/>
      <c r="P70" s="58" t="n"/>
      <c r="Q70" s="55" t="n"/>
      <c r="R70" s="52" t="n"/>
      <c r="S70" s="52" t="n"/>
      <c r="T70" s="54" t="n"/>
      <c r="U70" s="54" t="n"/>
      <c r="V70" s="54" t="n"/>
      <c r="W70" s="54" t="n"/>
    </row>
    <row r="71" hidden="1" ht="18" customHeight="1">
      <c r="A71" s="46" t="n"/>
      <c r="B71" s="46" t="n"/>
      <c r="C71" s="46" t="n"/>
      <c r="D71" s="46" t="n"/>
      <c r="E71" s="47" t="n"/>
      <c r="F71" s="47" t="n"/>
      <c r="G71" s="48" t="n"/>
      <c r="H71" s="48" t="n"/>
      <c r="I71" s="48" t="n"/>
      <c r="J71" s="49" t="n"/>
      <c r="K71" s="49" t="n"/>
      <c r="L71" s="49" t="n"/>
      <c r="M71" s="49" t="n"/>
      <c r="N71" s="48" t="n"/>
      <c r="O71" s="50" t="n"/>
      <c r="P71" s="51" t="n"/>
      <c r="Q71" s="48" t="n"/>
      <c r="R71" s="52" t="n"/>
      <c r="S71" s="52" t="n"/>
      <c r="T71" s="47" t="n"/>
      <c r="U71" s="47" t="n"/>
      <c r="V71" s="47" t="n"/>
      <c r="W71" s="47" t="n"/>
    </row>
    <row r="72" hidden="1" ht="18" customHeight="1">
      <c r="A72" s="53" t="n"/>
      <c r="B72" s="53" t="n"/>
      <c r="C72" s="53" t="n"/>
      <c r="D72" s="53" t="n"/>
      <c r="E72" s="54" t="n"/>
      <c r="F72" s="54" t="n"/>
      <c r="G72" s="55" t="n"/>
      <c r="H72" s="55" t="n"/>
      <c r="I72" s="55" t="n"/>
      <c r="J72" s="56" t="n"/>
      <c r="K72" s="56" t="n"/>
      <c r="L72" s="56" t="n"/>
      <c r="M72" s="56" t="n"/>
      <c r="N72" s="55" t="n"/>
      <c r="O72" s="57" t="n"/>
      <c r="P72" s="58" t="n"/>
      <c r="Q72" s="55" t="n"/>
      <c r="R72" s="52" t="n"/>
      <c r="S72" s="52" t="n"/>
      <c r="T72" s="54" t="n"/>
      <c r="U72" s="54" t="n"/>
      <c r="V72" s="54" t="n"/>
      <c r="W72" s="54" t="n"/>
    </row>
    <row r="73" hidden="1" ht="18" customHeight="1">
      <c r="A73" s="46" t="n"/>
      <c r="B73" s="46" t="n"/>
      <c r="C73" s="46" t="n"/>
      <c r="D73" s="46" t="n"/>
      <c r="E73" s="47" t="n"/>
      <c r="F73" s="47" t="n"/>
      <c r="G73" s="48" t="n"/>
      <c r="H73" s="48" t="n"/>
      <c r="I73" s="48" t="n"/>
      <c r="J73" s="49" t="n"/>
      <c r="K73" s="49" t="n"/>
      <c r="L73" s="49" t="n"/>
      <c r="M73" s="49" t="n"/>
      <c r="N73" s="48" t="n"/>
      <c r="O73" s="50" t="n"/>
      <c r="P73" s="51" t="n"/>
      <c r="Q73" s="48" t="n"/>
      <c r="R73" s="52" t="n"/>
      <c r="S73" s="52" t="n"/>
      <c r="T73" s="47" t="n"/>
      <c r="U73" s="47" t="n"/>
      <c r="V73" s="47" t="n"/>
      <c r="W73" s="47" t="n"/>
    </row>
    <row r="74" hidden="1" ht="18" customHeight="1">
      <c r="A74" s="53" t="n"/>
      <c r="B74" s="53" t="n"/>
      <c r="C74" s="53" t="n"/>
      <c r="D74" s="53" t="n"/>
      <c r="E74" s="54" t="n"/>
      <c r="F74" s="54" t="n"/>
      <c r="G74" s="55" t="n"/>
      <c r="H74" s="55" t="n"/>
      <c r="I74" s="55" t="n"/>
      <c r="J74" s="56" t="n"/>
      <c r="K74" s="56" t="n"/>
      <c r="L74" s="56" t="n"/>
      <c r="M74" s="56" t="n"/>
      <c r="N74" s="55" t="n"/>
      <c r="O74" s="57" t="n"/>
      <c r="P74" s="58" t="n"/>
      <c r="Q74" s="55" t="n"/>
      <c r="R74" s="52" t="n"/>
      <c r="S74" s="52" t="n"/>
      <c r="T74" s="54" t="n"/>
      <c r="U74" s="54" t="n"/>
      <c r="V74" s="54" t="n"/>
      <c r="W74" s="54" t="n"/>
    </row>
    <row r="75" hidden="1" ht="18" customHeight="1">
      <c r="A75" s="46" t="n"/>
      <c r="B75" s="46" t="n"/>
      <c r="C75" s="46" t="n"/>
      <c r="D75" s="46" t="n"/>
      <c r="E75" s="47" t="n"/>
      <c r="F75" s="47" t="n"/>
      <c r="G75" s="48" t="n"/>
      <c r="H75" s="48" t="n"/>
      <c r="I75" s="48" t="n"/>
      <c r="J75" s="49" t="n"/>
      <c r="K75" s="49" t="n"/>
      <c r="L75" s="49" t="n"/>
      <c r="M75" s="49" t="n"/>
      <c r="N75" s="48" t="n"/>
      <c r="O75" s="50" t="n"/>
      <c r="P75" s="51" t="n"/>
      <c r="Q75" s="48" t="n"/>
      <c r="R75" s="52" t="n"/>
      <c r="S75" s="52" t="n"/>
      <c r="T75" s="47" t="n"/>
      <c r="U75" s="47" t="n"/>
      <c r="V75" s="47" t="n"/>
      <c r="W75" s="47" t="n"/>
    </row>
    <row r="76" hidden="1" ht="18" customHeight="1">
      <c r="A76" s="53" t="n"/>
      <c r="B76" s="53" t="n"/>
      <c r="C76" s="53" t="n"/>
      <c r="D76" s="53" t="n"/>
      <c r="E76" s="54" t="n"/>
      <c r="F76" s="54" t="n"/>
      <c r="G76" s="55" t="n"/>
      <c r="H76" s="55" t="n"/>
      <c r="I76" s="55" t="n"/>
      <c r="J76" s="56" t="n"/>
      <c r="K76" s="56" t="n"/>
      <c r="L76" s="56" t="n"/>
      <c r="M76" s="56" t="n"/>
      <c r="N76" s="55" t="n"/>
      <c r="O76" s="57" t="n"/>
      <c r="P76" s="58" t="n"/>
      <c r="Q76" s="55" t="n"/>
      <c r="R76" s="52" t="n"/>
      <c r="S76" s="52" t="n"/>
      <c r="T76" s="54" t="n"/>
      <c r="U76" s="54" t="n"/>
      <c r="V76" s="54" t="n"/>
      <c r="W76" s="54" t="n"/>
    </row>
    <row r="77" hidden="1" ht="18" customHeight="1">
      <c r="A77" s="46" t="n"/>
      <c r="B77" s="46" t="n"/>
      <c r="C77" s="46" t="n"/>
      <c r="D77" s="46" t="n"/>
      <c r="E77" s="47" t="n"/>
      <c r="F77" s="47" t="n"/>
      <c r="G77" s="48" t="n"/>
      <c r="H77" s="48" t="n"/>
      <c r="I77" s="48" t="n"/>
      <c r="J77" s="49" t="n"/>
      <c r="K77" s="49" t="n"/>
      <c r="L77" s="49" t="n"/>
      <c r="M77" s="49" t="n"/>
      <c r="N77" s="48" t="n"/>
      <c r="O77" s="50" t="n"/>
      <c r="P77" s="51" t="n"/>
      <c r="Q77" s="48" t="n"/>
      <c r="R77" s="52" t="n"/>
      <c r="S77" s="52" t="n"/>
      <c r="T77" s="47" t="n"/>
      <c r="U77" s="47" t="n"/>
      <c r="V77" s="47" t="n"/>
      <c r="W77" s="47" t="n"/>
    </row>
    <row r="78" hidden="1" ht="18" customHeight="1">
      <c r="A78" s="53" t="n"/>
      <c r="B78" s="53" t="n"/>
      <c r="C78" s="53" t="n"/>
      <c r="D78" s="53" t="n"/>
      <c r="E78" s="54" t="n"/>
      <c r="F78" s="54" t="n"/>
      <c r="G78" s="55" t="n"/>
      <c r="H78" s="55" t="n"/>
      <c r="I78" s="55" t="n"/>
      <c r="J78" s="56" t="n"/>
      <c r="K78" s="56" t="n"/>
      <c r="L78" s="56" t="n"/>
      <c r="M78" s="56" t="n"/>
      <c r="N78" s="55" t="n"/>
      <c r="O78" s="57" t="n"/>
      <c r="P78" s="58" t="n"/>
      <c r="Q78" s="55" t="n"/>
      <c r="R78" s="52" t="n"/>
      <c r="S78" s="52" t="n"/>
      <c r="T78" s="54" t="n"/>
      <c r="U78" s="54" t="n"/>
      <c r="V78" s="54" t="n"/>
      <c r="W78" s="54" t="n"/>
    </row>
    <row r="79" hidden="1" ht="18" customHeight="1">
      <c r="A79" s="46" t="n"/>
      <c r="B79" s="46" t="n"/>
      <c r="C79" s="46" t="n"/>
      <c r="D79" s="46" t="n"/>
      <c r="E79" s="47" t="n"/>
      <c r="F79" s="47" t="n"/>
      <c r="G79" s="48" t="n"/>
      <c r="H79" s="48" t="n"/>
      <c r="I79" s="48" t="n"/>
      <c r="J79" s="49" t="n"/>
      <c r="K79" s="49" t="n"/>
      <c r="L79" s="49" t="n"/>
      <c r="M79" s="49" t="n"/>
      <c r="N79" s="48" t="n"/>
      <c r="O79" s="50" t="n"/>
      <c r="P79" s="51" t="n"/>
      <c r="Q79" s="48" t="n"/>
      <c r="R79" s="52" t="n"/>
      <c r="S79" s="52" t="n"/>
      <c r="T79" s="47" t="n"/>
      <c r="U79" s="47" t="n"/>
      <c r="V79" s="47" t="n"/>
      <c r="W79" s="47" t="n"/>
    </row>
    <row r="80" hidden="1" ht="18" customHeight="1">
      <c r="A80" s="53" t="n"/>
      <c r="B80" s="53" t="n"/>
      <c r="C80" s="53" t="n"/>
      <c r="D80" s="53" t="n"/>
      <c r="E80" s="54" t="n"/>
      <c r="F80" s="54" t="n"/>
      <c r="G80" s="55" t="n"/>
      <c r="H80" s="55" t="n"/>
      <c r="I80" s="55" t="n"/>
      <c r="J80" s="56" t="n"/>
      <c r="K80" s="56" t="n"/>
      <c r="L80" s="56" t="n"/>
      <c r="M80" s="56" t="n"/>
      <c r="N80" s="55" t="n"/>
      <c r="O80" s="57" t="n"/>
      <c r="P80" s="58" t="n"/>
      <c r="Q80" s="55" t="n"/>
      <c r="R80" s="52" t="n"/>
      <c r="S80" s="52" t="n"/>
      <c r="T80" s="54" t="n"/>
      <c r="U80" s="54" t="n"/>
      <c r="V80" s="54" t="n"/>
      <c r="W80" s="54" t="n"/>
    </row>
    <row r="81" hidden="1" ht="18" customHeight="1">
      <c r="A81" s="46" t="n"/>
      <c r="B81" s="46" t="n"/>
      <c r="C81" s="46" t="n"/>
      <c r="D81" s="46" t="n"/>
      <c r="E81" s="47" t="n"/>
      <c r="F81" s="47" t="n"/>
      <c r="G81" s="48" t="n"/>
      <c r="H81" s="48" t="n"/>
      <c r="I81" s="48" t="n"/>
      <c r="J81" s="49" t="n"/>
      <c r="K81" s="49" t="n"/>
      <c r="L81" s="49" t="n"/>
      <c r="M81" s="49" t="n"/>
      <c r="N81" s="48" t="n"/>
      <c r="O81" s="50" t="n"/>
      <c r="P81" s="51" t="n"/>
      <c r="Q81" s="48" t="n"/>
      <c r="R81" s="52" t="n"/>
      <c r="S81" s="52" t="n"/>
      <c r="T81" s="47" t="n"/>
      <c r="U81" s="47" t="n"/>
      <c r="V81" s="47" t="n"/>
      <c r="W81" s="47" t="n"/>
    </row>
    <row r="82" hidden="1" ht="18" customHeight="1">
      <c r="A82" s="53" t="n"/>
      <c r="B82" s="53" t="n"/>
      <c r="C82" s="53" t="n"/>
      <c r="D82" s="53" t="n"/>
      <c r="E82" s="54" t="n"/>
      <c r="F82" s="54" t="n"/>
      <c r="G82" s="55" t="n"/>
      <c r="H82" s="55" t="n"/>
      <c r="I82" s="55" t="n"/>
      <c r="J82" s="56" t="n"/>
      <c r="K82" s="56" t="n"/>
      <c r="L82" s="56" t="n"/>
      <c r="M82" s="56" t="n"/>
      <c r="N82" s="55" t="n"/>
      <c r="O82" s="57" t="n"/>
      <c r="P82" s="58" t="n"/>
      <c r="Q82" s="55" t="n"/>
      <c r="R82" s="52" t="n"/>
      <c r="S82" s="52" t="n"/>
      <c r="T82" s="54" t="n"/>
      <c r="U82" s="54" t="n"/>
      <c r="V82" s="54" t="n"/>
      <c r="W82" s="54" t="n"/>
    </row>
    <row r="83" hidden="1" ht="18" customHeight="1">
      <c r="A83" s="46" t="n"/>
      <c r="B83" s="46" t="n"/>
      <c r="C83" s="46" t="n"/>
      <c r="D83" s="46" t="n"/>
      <c r="E83" s="47" t="n"/>
      <c r="F83" s="47" t="n"/>
      <c r="G83" s="48" t="n"/>
      <c r="H83" s="48" t="n"/>
      <c r="I83" s="48" t="n"/>
      <c r="J83" s="49" t="n"/>
      <c r="K83" s="49" t="n"/>
      <c r="L83" s="49" t="n"/>
      <c r="M83" s="49" t="n"/>
      <c r="N83" s="48" t="n"/>
      <c r="O83" s="50" t="n"/>
      <c r="P83" s="51" t="n"/>
      <c r="Q83" s="48" t="n"/>
      <c r="R83" s="52" t="n"/>
      <c r="S83" s="52" t="n"/>
      <c r="T83" s="47" t="n"/>
      <c r="U83" s="47" t="n"/>
      <c r="V83" s="47" t="n"/>
      <c r="W83" s="47" t="n"/>
    </row>
    <row r="84" hidden="1" ht="18" customHeight="1">
      <c r="A84" s="53" t="n"/>
      <c r="B84" s="53" t="n"/>
      <c r="C84" s="53" t="n"/>
      <c r="D84" s="53" t="n"/>
      <c r="E84" s="54" t="n"/>
      <c r="F84" s="54" t="n"/>
      <c r="G84" s="55" t="n"/>
      <c r="H84" s="55" t="n"/>
      <c r="I84" s="55" t="n"/>
      <c r="J84" s="56" t="n"/>
      <c r="K84" s="56" t="n"/>
      <c r="L84" s="56" t="n"/>
      <c r="M84" s="56" t="n"/>
      <c r="N84" s="55" t="n"/>
      <c r="O84" s="57" t="n"/>
      <c r="P84" s="58" t="n"/>
      <c r="Q84" s="55" t="n"/>
      <c r="R84" s="52" t="n"/>
      <c r="S84" s="52" t="n"/>
      <c r="T84" s="54" t="n"/>
      <c r="U84" s="54" t="n"/>
      <c r="V84" s="54" t="n"/>
      <c r="W84" s="54" t="n"/>
    </row>
    <row r="85" hidden="1" ht="18" customHeight="1">
      <c r="A85" s="46" t="n"/>
      <c r="B85" s="46" t="n"/>
      <c r="C85" s="46" t="n"/>
      <c r="D85" s="46" t="n"/>
      <c r="E85" s="47" t="n"/>
      <c r="F85" s="47" t="n"/>
      <c r="G85" s="48" t="n"/>
      <c r="H85" s="48" t="n"/>
      <c r="I85" s="48" t="n"/>
      <c r="J85" s="49" t="n"/>
      <c r="K85" s="49" t="n"/>
      <c r="L85" s="49" t="n"/>
      <c r="M85" s="49" t="n"/>
      <c r="N85" s="48" t="n"/>
      <c r="O85" s="50" t="n"/>
      <c r="P85" s="51" t="n"/>
      <c r="Q85" s="48" t="n"/>
      <c r="R85" s="52" t="n"/>
      <c r="S85" s="52" t="n"/>
      <c r="T85" s="47" t="n"/>
      <c r="U85" s="47" t="n"/>
      <c r="V85" s="47" t="n"/>
      <c r="W85" s="47" t="n"/>
    </row>
    <row r="86" hidden="1" ht="18" customHeight="1">
      <c r="A86" s="53" t="n"/>
      <c r="B86" s="53" t="n"/>
      <c r="C86" s="53" t="n"/>
      <c r="D86" s="53" t="n"/>
      <c r="E86" s="54" t="n"/>
      <c r="F86" s="54" t="n"/>
      <c r="G86" s="55" t="n"/>
      <c r="H86" s="55" t="n"/>
      <c r="I86" s="55" t="n"/>
      <c r="J86" s="56" t="n"/>
      <c r="K86" s="56" t="n"/>
      <c r="L86" s="56" t="n"/>
      <c r="M86" s="56" t="n"/>
      <c r="N86" s="55" t="n"/>
      <c r="O86" s="57" t="n"/>
      <c r="P86" s="58" t="n"/>
      <c r="Q86" s="55" t="n"/>
      <c r="R86" s="52" t="n"/>
      <c r="S86" s="52" t="n"/>
      <c r="T86" s="54" t="n"/>
      <c r="U86" s="54" t="n"/>
      <c r="V86" s="54" t="n"/>
      <c r="W86" s="54" t="n"/>
    </row>
    <row r="87" hidden="1" ht="18" customHeight="1">
      <c r="A87" s="46" t="n"/>
      <c r="B87" s="46" t="n"/>
      <c r="C87" s="46" t="n"/>
      <c r="D87" s="46" t="n"/>
      <c r="E87" s="47" t="n"/>
      <c r="F87" s="47" t="n"/>
      <c r="G87" s="48" t="n"/>
      <c r="H87" s="48" t="n"/>
      <c r="I87" s="48" t="n"/>
      <c r="J87" s="49" t="n"/>
      <c r="K87" s="49" t="n"/>
      <c r="L87" s="49" t="n"/>
      <c r="M87" s="49" t="n"/>
      <c r="N87" s="48" t="n"/>
      <c r="O87" s="50" t="n"/>
      <c r="P87" s="51" t="n"/>
      <c r="Q87" s="48" t="n"/>
      <c r="R87" s="52" t="n"/>
      <c r="S87" s="52" t="n"/>
      <c r="T87" s="47" t="n"/>
      <c r="U87" s="47" t="n"/>
      <c r="V87" s="47" t="n"/>
      <c r="W87" s="47" t="n"/>
    </row>
    <row r="88" hidden="1" ht="18" customHeight="1">
      <c r="A88" s="53" t="n"/>
      <c r="B88" s="53" t="n"/>
      <c r="C88" s="53" t="n"/>
      <c r="D88" s="53" t="n"/>
      <c r="E88" s="54" t="n"/>
      <c r="F88" s="54" t="n"/>
      <c r="G88" s="55" t="n"/>
      <c r="H88" s="55" t="n"/>
      <c r="I88" s="55" t="n"/>
      <c r="J88" s="56" t="n"/>
      <c r="K88" s="56" t="n"/>
      <c r="L88" s="56" t="n"/>
      <c r="M88" s="56" t="n"/>
      <c r="N88" s="55" t="n"/>
      <c r="O88" s="57" t="n"/>
      <c r="P88" s="58" t="n"/>
      <c r="Q88" s="55" t="n"/>
      <c r="R88" s="52" t="n"/>
      <c r="S88" s="52" t="n"/>
      <c r="T88" s="54" t="n"/>
      <c r="U88" s="54" t="n"/>
      <c r="V88" s="54" t="n"/>
      <c r="W88" s="54" t="n"/>
    </row>
    <row r="89" hidden="1" ht="18" customHeight="1">
      <c r="A89" s="46" t="n"/>
      <c r="B89" s="46" t="n"/>
      <c r="C89" s="46" t="n"/>
      <c r="D89" s="46" t="n"/>
      <c r="E89" s="47" t="n"/>
      <c r="F89" s="47" t="n"/>
      <c r="G89" s="48" t="n"/>
      <c r="H89" s="48" t="n"/>
      <c r="I89" s="48" t="n"/>
      <c r="J89" s="49" t="n"/>
      <c r="K89" s="49" t="n"/>
      <c r="L89" s="49" t="n"/>
      <c r="M89" s="49" t="n"/>
      <c r="N89" s="48" t="n"/>
      <c r="O89" s="50" t="n"/>
      <c r="P89" s="51" t="n"/>
      <c r="Q89" s="48" t="n"/>
      <c r="R89" s="52" t="n"/>
      <c r="S89" s="52" t="n"/>
      <c r="T89" s="47" t="n"/>
      <c r="U89" s="47" t="n"/>
      <c r="V89" s="47" t="n"/>
      <c r="W89" s="47" t="n"/>
    </row>
    <row r="90" hidden="1" ht="18" customHeight="1">
      <c r="A90" s="53" t="n"/>
      <c r="B90" s="53" t="n"/>
      <c r="C90" s="53" t="n"/>
      <c r="D90" s="53" t="n"/>
      <c r="E90" s="54" t="n"/>
      <c r="F90" s="54" t="n"/>
      <c r="G90" s="55" t="n"/>
      <c r="H90" s="55" t="n"/>
      <c r="I90" s="55" t="n"/>
      <c r="J90" s="56" t="n"/>
      <c r="K90" s="56" t="n"/>
      <c r="L90" s="56" t="n"/>
      <c r="M90" s="56" t="n"/>
      <c r="N90" s="55" t="n"/>
      <c r="O90" s="57" t="n"/>
      <c r="P90" s="58" t="n"/>
      <c r="Q90" s="55" t="n"/>
      <c r="R90" s="52" t="n"/>
      <c r="S90" s="52" t="n"/>
      <c r="T90" s="54" t="n"/>
      <c r="U90" s="54" t="n"/>
      <c r="V90" s="54" t="n"/>
      <c r="W90" s="54" t="n"/>
    </row>
    <row r="91" hidden="1" ht="18" customHeight="1">
      <c r="A91" s="46" t="n"/>
      <c r="B91" s="46" t="n"/>
      <c r="C91" s="46" t="n"/>
      <c r="D91" s="46" t="n"/>
      <c r="E91" s="47" t="n"/>
      <c r="F91" s="47" t="n"/>
      <c r="G91" s="48" t="n"/>
      <c r="H91" s="48" t="n"/>
      <c r="I91" s="48" t="n"/>
      <c r="J91" s="49" t="n"/>
      <c r="K91" s="49" t="n"/>
      <c r="L91" s="49" t="n"/>
      <c r="M91" s="49" t="n"/>
      <c r="N91" s="48" t="n"/>
      <c r="O91" s="50" t="n"/>
      <c r="P91" s="51" t="n"/>
      <c r="Q91" s="48" t="n"/>
      <c r="R91" s="52" t="n"/>
      <c r="S91" s="52" t="n"/>
      <c r="T91" s="47" t="n"/>
      <c r="U91" s="47" t="n"/>
      <c r="V91" s="47" t="n"/>
      <c r="W91" s="47" t="n"/>
    </row>
    <row r="92" hidden="1" ht="18" customHeight="1">
      <c r="A92" s="53" t="n"/>
      <c r="B92" s="53" t="n"/>
      <c r="C92" s="53" t="n"/>
      <c r="D92" s="53" t="n"/>
      <c r="E92" s="54" t="n"/>
      <c r="F92" s="54" t="n"/>
      <c r="G92" s="55" t="n"/>
      <c r="H92" s="55" t="n"/>
      <c r="I92" s="55" t="n"/>
      <c r="J92" s="56" t="n"/>
      <c r="K92" s="56" t="n"/>
      <c r="L92" s="56" t="n"/>
      <c r="M92" s="56" t="n"/>
      <c r="N92" s="55" t="n"/>
      <c r="O92" s="57" t="n"/>
      <c r="P92" s="58" t="n"/>
      <c r="Q92" s="55" t="n"/>
      <c r="R92" s="52" t="n"/>
      <c r="S92" s="52" t="n"/>
      <c r="T92" s="54" t="n"/>
      <c r="U92" s="54" t="n"/>
      <c r="V92" s="54" t="n"/>
      <c r="W92" s="54" t="n"/>
    </row>
    <row r="93" hidden="1" ht="18" customHeight="1">
      <c r="A93" s="46" t="n"/>
      <c r="B93" s="46" t="n"/>
      <c r="C93" s="46" t="n"/>
      <c r="D93" s="46" t="n"/>
      <c r="E93" s="47" t="n"/>
      <c r="F93" s="47" t="n"/>
      <c r="G93" s="48" t="n"/>
      <c r="H93" s="48" t="n"/>
      <c r="I93" s="48" t="n"/>
      <c r="J93" s="49" t="n"/>
      <c r="K93" s="49" t="n"/>
      <c r="L93" s="49" t="n"/>
      <c r="M93" s="49" t="n"/>
      <c r="N93" s="48" t="n"/>
      <c r="O93" s="50" t="n"/>
      <c r="P93" s="51" t="n"/>
      <c r="Q93" s="48" t="n"/>
      <c r="R93" s="52" t="n"/>
      <c r="S93" s="52" t="n"/>
      <c r="T93" s="47" t="n"/>
      <c r="U93" s="47" t="n"/>
      <c r="V93" s="47" t="n"/>
      <c r="W93" s="47" t="n"/>
    </row>
    <row r="94" hidden="1" ht="18" customHeight="1">
      <c r="A94" s="53" t="n"/>
      <c r="B94" s="53" t="n"/>
      <c r="C94" s="53" t="n"/>
      <c r="D94" s="53" t="n"/>
      <c r="E94" s="54" t="n"/>
      <c r="F94" s="54" t="n"/>
      <c r="G94" s="55" t="n"/>
      <c r="H94" s="55" t="n"/>
      <c r="I94" s="55" t="n"/>
      <c r="J94" s="56" t="n"/>
      <c r="K94" s="56" t="n"/>
      <c r="L94" s="56" t="n"/>
      <c r="M94" s="56" t="n"/>
      <c r="N94" s="55" t="n"/>
      <c r="O94" s="57" t="n"/>
      <c r="P94" s="58" t="n"/>
      <c r="Q94" s="55" t="n"/>
      <c r="R94" s="52" t="n"/>
      <c r="S94" s="52" t="n"/>
      <c r="T94" s="54" t="n"/>
      <c r="U94" s="54" t="n"/>
      <c r="V94" s="54" t="n"/>
      <c r="W94" s="54" t="n"/>
    </row>
    <row r="95" hidden="1" ht="18" customHeight="1">
      <c r="A95" s="46" t="n"/>
      <c r="B95" s="46" t="n"/>
      <c r="C95" s="46" t="n"/>
      <c r="D95" s="46" t="n"/>
      <c r="E95" s="47" t="n"/>
      <c r="F95" s="47" t="n"/>
      <c r="G95" s="48" t="n"/>
      <c r="H95" s="48" t="n"/>
      <c r="I95" s="48" t="n"/>
      <c r="J95" s="49" t="n"/>
      <c r="K95" s="49" t="n"/>
      <c r="L95" s="49" t="n"/>
      <c r="M95" s="49" t="n"/>
      <c r="N95" s="48" t="n"/>
      <c r="O95" s="50" t="n"/>
      <c r="P95" s="51" t="n"/>
      <c r="Q95" s="48" t="n"/>
      <c r="R95" s="52" t="n"/>
      <c r="S95" s="52" t="n"/>
      <c r="T95" s="47" t="n"/>
      <c r="U95" s="47" t="n"/>
      <c r="V95" s="47" t="n"/>
      <c r="W95" s="47" t="n"/>
    </row>
    <row r="96" hidden="1" ht="18" customHeight="1">
      <c r="A96" s="53" t="n"/>
      <c r="B96" s="53" t="n"/>
      <c r="C96" s="53" t="n"/>
      <c r="D96" s="53" t="n"/>
      <c r="E96" s="54" t="n"/>
      <c r="F96" s="54" t="n"/>
      <c r="G96" s="55" t="n"/>
      <c r="H96" s="55" t="n"/>
      <c r="I96" s="55" t="n"/>
      <c r="J96" s="56" t="n"/>
      <c r="K96" s="56" t="n"/>
      <c r="L96" s="56" t="n"/>
      <c r="M96" s="56" t="n"/>
      <c r="N96" s="55" t="n"/>
      <c r="O96" s="57" t="n"/>
      <c r="P96" s="58" t="n"/>
      <c r="Q96" s="55" t="n"/>
      <c r="R96" s="52" t="n"/>
      <c r="S96" s="52" t="n"/>
      <c r="T96" s="54" t="n"/>
      <c r="U96" s="54" t="n"/>
      <c r="V96" s="54" t="n"/>
      <c r="W96" s="54" t="n"/>
    </row>
    <row r="97" hidden="1" ht="18" customHeight="1">
      <c r="A97" s="46" t="n"/>
      <c r="B97" s="46" t="n"/>
      <c r="C97" s="46" t="n"/>
      <c r="D97" s="46" t="n"/>
      <c r="E97" s="47" t="n"/>
      <c r="F97" s="47" t="n"/>
      <c r="G97" s="48" t="n"/>
      <c r="H97" s="48" t="n"/>
      <c r="I97" s="48" t="n"/>
      <c r="J97" s="49" t="n"/>
      <c r="K97" s="49" t="n"/>
      <c r="L97" s="49" t="n"/>
      <c r="M97" s="49" t="n"/>
      <c r="N97" s="48" t="n"/>
      <c r="O97" s="50" t="n"/>
      <c r="P97" s="51" t="n"/>
      <c r="Q97" s="48" t="n"/>
      <c r="R97" s="52" t="n"/>
      <c r="S97" s="52" t="n"/>
      <c r="T97" s="47" t="n"/>
      <c r="U97" s="47" t="n"/>
      <c r="V97" s="47" t="n"/>
      <c r="W97" s="47" t="n"/>
    </row>
    <row r="98" hidden="1" ht="18" customHeight="1">
      <c r="A98" s="53" t="n"/>
      <c r="B98" s="53" t="n"/>
      <c r="C98" s="53" t="n"/>
      <c r="D98" s="53" t="n"/>
      <c r="E98" s="54" t="n"/>
      <c r="F98" s="54" t="n"/>
      <c r="G98" s="55" t="n"/>
      <c r="H98" s="55" t="n"/>
      <c r="I98" s="55" t="n"/>
      <c r="J98" s="56" t="n"/>
      <c r="K98" s="56" t="n"/>
      <c r="L98" s="56" t="n"/>
      <c r="M98" s="56" t="n"/>
      <c r="N98" s="55" t="n"/>
      <c r="O98" s="57" t="n"/>
      <c r="P98" s="58" t="n"/>
      <c r="Q98" s="55" t="n"/>
      <c r="R98" s="52" t="n"/>
      <c r="S98" s="52" t="n"/>
      <c r="T98" s="54" t="n"/>
      <c r="U98" s="54" t="n"/>
      <c r="V98" s="54" t="n"/>
      <c r="W98" s="54" t="n"/>
    </row>
    <row r="99" hidden="1" ht="18" customHeight="1">
      <c r="A99" s="46" t="n"/>
      <c r="B99" s="46" t="n"/>
      <c r="C99" s="46" t="n"/>
      <c r="D99" s="46" t="n"/>
      <c r="E99" s="47" t="n"/>
      <c r="F99" s="47" t="n"/>
      <c r="G99" s="48" t="n"/>
      <c r="H99" s="48" t="n"/>
      <c r="I99" s="48" t="n"/>
      <c r="J99" s="49" t="n"/>
      <c r="K99" s="49" t="n"/>
      <c r="L99" s="49" t="n"/>
      <c r="M99" s="49" t="n"/>
      <c r="N99" s="48" t="n"/>
      <c r="O99" s="50" t="n"/>
      <c r="P99" s="51" t="n"/>
      <c r="Q99" s="48" t="n"/>
      <c r="R99" s="52" t="n"/>
      <c r="S99" s="52" t="n"/>
      <c r="T99" s="47" t="n"/>
      <c r="U99" s="47" t="n"/>
      <c r="V99" s="47" t="n"/>
      <c r="W99" s="47" t="n"/>
    </row>
    <row r="100" hidden="1" ht="18" customHeight="1">
      <c r="A100" s="53" t="n"/>
      <c r="B100" s="53" t="n"/>
      <c r="C100" s="53" t="n"/>
      <c r="D100" s="53" t="n"/>
      <c r="E100" s="54" t="n"/>
      <c r="F100" s="54" t="n"/>
      <c r="G100" s="55" t="n"/>
      <c r="H100" s="55" t="n"/>
      <c r="I100" s="55" t="n"/>
      <c r="J100" s="56" t="n"/>
      <c r="K100" s="56" t="n"/>
      <c r="L100" s="56" t="n"/>
      <c r="M100" s="56" t="n"/>
      <c r="N100" s="55" t="n"/>
      <c r="O100" s="57" t="n"/>
      <c r="P100" s="58" t="n"/>
      <c r="Q100" s="55" t="n"/>
      <c r="R100" s="52" t="n"/>
      <c r="S100" s="52" t="n"/>
      <c r="T100" s="54" t="n"/>
      <c r="U100" s="54" t="n"/>
      <c r="V100" s="54" t="n"/>
      <c r="W100" s="54" t="n"/>
    </row>
    <row r="101" hidden="1" ht="18" customHeight="1">
      <c r="A101" s="46" t="n"/>
      <c r="B101" s="46" t="n"/>
      <c r="C101" s="46" t="n"/>
      <c r="D101" s="46" t="n"/>
      <c r="E101" s="47" t="n"/>
      <c r="F101" s="47" t="n"/>
      <c r="G101" s="48" t="n"/>
      <c r="H101" s="48" t="n"/>
      <c r="I101" s="48" t="n"/>
      <c r="J101" s="49" t="n"/>
      <c r="K101" s="49" t="n"/>
      <c r="L101" s="49" t="n"/>
      <c r="M101" s="49" t="n"/>
      <c r="N101" s="48" t="n"/>
      <c r="O101" s="50" t="n"/>
      <c r="P101" s="51" t="n"/>
      <c r="Q101" s="48" t="n"/>
      <c r="R101" s="52" t="n"/>
      <c r="S101" s="52" t="n"/>
      <c r="T101" s="47" t="n"/>
      <c r="U101" s="47" t="n"/>
      <c r="V101" s="47" t="n"/>
      <c r="W101" s="47" t="n"/>
    </row>
    <row r="102" hidden="1" ht="18" customHeight="1">
      <c r="A102" s="53" t="n"/>
      <c r="B102" s="53" t="n"/>
      <c r="C102" s="53" t="n"/>
      <c r="D102" s="53" t="n"/>
      <c r="E102" s="54" t="n"/>
      <c r="F102" s="54" t="n"/>
      <c r="G102" s="55" t="n"/>
      <c r="H102" s="55" t="n"/>
      <c r="I102" s="55" t="n"/>
      <c r="J102" s="56" t="n"/>
      <c r="K102" s="56" t="n"/>
      <c r="L102" s="56" t="n"/>
      <c r="M102" s="56" t="n"/>
      <c r="N102" s="55" t="n"/>
      <c r="O102" s="57" t="n"/>
      <c r="P102" s="58" t="n"/>
      <c r="Q102" s="55" t="n"/>
      <c r="R102" s="52" t="n"/>
      <c r="S102" s="52" t="n"/>
      <c r="T102" s="54" t="n"/>
      <c r="U102" s="54" t="n"/>
      <c r="V102" s="54" t="n"/>
      <c r="W102" s="54" t="n"/>
    </row>
    <row r="103" hidden="1" ht="18" customHeight="1">
      <c r="A103" s="46" t="n"/>
      <c r="B103" s="46" t="n"/>
      <c r="C103" s="46" t="n"/>
      <c r="D103" s="46" t="n"/>
      <c r="E103" s="47" t="n"/>
      <c r="F103" s="47" t="n"/>
      <c r="G103" s="48" t="n"/>
      <c r="H103" s="48" t="n"/>
      <c r="I103" s="48" t="n"/>
      <c r="J103" s="49" t="n"/>
      <c r="K103" s="49" t="n"/>
      <c r="L103" s="49" t="n"/>
      <c r="M103" s="49" t="n"/>
      <c r="N103" s="48" t="n"/>
      <c r="O103" s="50" t="n"/>
      <c r="P103" s="51" t="n"/>
      <c r="Q103" s="48" t="n"/>
      <c r="R103" s="52" t="n"/>
      <c r="S103" s="52" t="n"/>
      <c r="T103" s="47" t="n"/>
      <c r="U103" s="47" t="n"/>
      <c r="V103" s="47" t="n"/>
      <c r="W103" s="47" t="n"/>
    </row>
    <row r="104" hidden="1" ht="18" customHeight="1">
      <c r="A104" s="53" t="n"/>
      <c r="B104" s="53" t="n"/>
      <c r="C104" s="53" t="n"/>
      <c r="D104" s="53" t="n"/>
      <c r="E104" s="54" t="n"/>
      <c r="F104" s="54" t="n"/>
      <c r="G104" s="55" t="n"/>
      <c r="H104" s="55" t="n"/>
      <c r="I104" s="55" t="n"/>
      <c r="J104" s="56" t="n"/>
      <c r="K104" s="56" t="n"/>
      <c r="L104" s="56" t="n"/>
      <c r="M104" s="56" t="n"/>
      <c r="N104" s="55" t="n"/>
      <c r="O104" s="57" t="n"/>
      <c r="P104" s="58" t="n"/>
      <c r="Q104" s="55" t="n"/>
      <c r="R104" s="52" t="n"/>
      <c r="S104" s="52" t="n"/>
      <c r="T104" s="54" t="n"/>
      <c r="U104" s="54" t="n"/>
      <c r="V104" s="54" t="n"/>
      <c r="W104" s="54" t="n"/>
    </row>
    <row r="105" hidden="1" ht="18" customHeight="1">
      <c r="A105" s="46" t="n"/>
      <c r="B105" s="46" t="n"/>
      <c r="C105" s="46" t="n"/>
      <c r="D105" s="46" t="n"/>
      <c r="E105" s="47" t="n"/>
      <c r="F105" s="47" t="n"/>
      <c r="G105" s="48" t="n"/>
      <c r="H105" s="48" t="n"/>
      <c r="I105" s="48" t="n"/>
      <c r="J105" s="49" t="n"/>
      <c r="K105" s="49" t="n"/>
      <c r="L105" s="49" t="n"/>
      <c r="M105" s="49" t="n"/>
      <c r="N105" s="48" t="n"/>
      <c r="O105" s="50" t="n"/>
      <c r="P105" s="51" t="n"/>
      <c r="Q105" s="48" t="n"/>
      <c r="R105" s="52" t="n"/>
      <c r="S105" s="52" t="n"/>
      <c r="T105" s="47" t="n"/>
      <c r="U105" s="47" t="n"/>
      <c r="V105" s="47" t="n"/>
      <c r="W105" s="47" t="n"/>
    </row>
    <row r="106" hidden="1" ht="18" customHeight="1">
      <c r="A106" s="53" t="n"/>
      <c r="B106" s="53" t="n"/>
      <c r="C106" s="53" t="n"/>
      <c r="D106" s="53" t="n"/>
      <c r="E106" s="54" t="n"/>
      <c r="F106" s="54" t="n"/>
      <c r="G106" s="55" t="n"/>
      <c r="H106" s="55" t="n"/>
      <c r="I106" s="55" t="n"/>
      <c r="J106" s="56" t="n"/>
      <c r="K106" s="56" t="n"/>
      <c r="L106" s="56" t="n"/>
      <c r="M106" s="56" t="n"/>
      <c r="N106" s="55" t="n"/>
      <c r="O106" s="57" t="n"/>
      <c r="P106" s="58" t="n"/>
      <c r="Q106" s="55" t="n"/>
      <c r="R106" s="52" t="n"/>
      <c r="S106" s="52" t="n"/>
      <c r="T106" s="54" t="n"/>
      <c r="U106" s="54" t="n"/>
      <c r="V106" s="54" t="n"/>
      <c r="W106" s="54" t="n"/>
    </row>
    <row r="107" hidden="1" ht="18" customHeight="1">
      <c r="A107" s="46" t="n"/>
      <c r="B107" s="46" t="n"/>
      <c r="C107" s="46" t="n"/>
      <c r="D107" s="46" t="n"/>
      <c r="E107" s="47" t="n"/>
      <c r="F107" s="47" t="n"/>
      <c r="G107" s="48" t="n"/>
      <c r="H107" s="48" t="n"/>
      <c r="I107" s="48" t="n"/>
      <c r="J107" s="49" t="n"/>
      <c r="K107" s="49" t="n"/>
      <c r="L107" s="49" t="n"/>
      <c r="M107" s="49" t="n"/>
      <c r="N107" s="48" t="n"/>
      <c r="O107" s="50" t="n"/>
      <c r="P107" s="51" t="n"/>
      <c r="Q107" s="48" t="n"/>
      <c r="R107" s="52" t="n"/>
      <c r="S107" s="52" t="n"/>
      <c r="T107" s="47" t="n"/>
      <c r="U107" s="47" t="n"/>
      <c r="V107" s="47" t="n"/>
      <c r="W107" s="47" t="n"/>
    </row>
    <row r="108" hidden="1" ht="18" customHeight="1">
      <c r="A108" s="53" t="n"/>
      <c r="B108" s="53" t="n"/>
      <c r="C108" s="53" t="n"/>
      <c r="D108" s="53" t="n"/>
      <c r="E108" s="54" t="n"/>
      <c r="F108" s="54" t="n"/>
      <c r="G108" s="55" t="n"/>
      <c r="H108" s="55" t="n"/>
      <c r="I108" s="55" t="n"/>
      <c r="J108" s="56" t="n"/>
      <c r="K108" s="56" t="n"/>
      <c r="L108" s="56" t="n"/>
      <c r="M108" s="56" t="n"/>
      <c r="N108" s="55" t="n"/>
      <c r="O108" s="57" t="n"/>
      <c r="P108" s="58" t="n"/>
      <c r="Q108" s="55" t="n"/>
      <c r="R108" s="52" t="n"/>
      <c r="S108" s="52" t="n"/>
      <c r="T108" s="54" t="n"/>
      <c r="U108" s="54" t="n"/>
      <c r="V108" s="54" t="n"/>
      <c r="W108" s="54" t="n"/>
    </row>
    <row r="109" hidden="1" ht="18" customHeight="1">
      <c r="A109" s="46" t="n"/>
      <c r="B109" s="46" t="n"/>
      <c r="C109" s="46" t="n"/>
      <c r="D109" s="46" t="n"/>
      <c r="E109" s="47" t="n"/>
      <c r="F109" s="47" t="n"/>
      <c r="G109" s="48" t="n"/>
      <c r="H109" s="48" t="n"/>
      <c r="I109" s="48" t="n"/>
      <c r="J109" s="49" t="n"/>
      <c r="K109" s="49" t="n"/>
      <c r="L109" s="49" t="n"/>
      <c r="M109" s="49" t="n"/>
      <c r="N109" s="48" t="n"/>
      <c r="O109" s="50" t="n"/>
      <c r="P109" s="51" t="n"/>
      <c r="Q109" s="48" t="n"/>
      <c r="R109" s="52" t="n"/>
      <c r="S109" s="52" t="n"/>
      <c r="T109" s="47" t="n"/>
      <c r="U109" s="47" t="n"/>
      <c r="V109" s="47" t="n"/>
      <c r="W109" s="47" t="n"/>
    </row>
    <row r="110" hidden="1" ht="18" customHeight="1">
      <c r="A110" s="53" t="n"/>
      <c r="B110" s="53" t="n"/>
      <c r="C110" s="53" t="n"/>
      <c r="D110" s="53" t="n"/>
      <c r="E110" s="54" t="n"/>
      <c r="F110" s="54" t="n"/>
      <c r="G110" s="55" t="n"/>
      <c r="H110" s="55" t="n"/>
      <c r="I110" s="55" t="n"/>
      <c r="J110" s="56" t="n"/>
      <c r="K110" s="56" t="n"/>
      <c r="L110" s="56" t="n"/>
      <c r="M110" s="56" t="n"/>
      <c r="N110" s="55" t="n"/>
      <c r="O110" s="57" t="n"/>
      <c r="P110" s="58" t="n"/>
      <c r="Q110" s="55" t="n"/>
      <c r="R110" s="52" t="n"/>
      <c r="S110" s="52" t="n"/>
      <c r="T110" s="54" t="n"/>
      <c r="U110" s="54" t="n"/>
      <c r="V110" s="54" t="n"/>
      <c r="W110" s="54" t="n"/>
    </row>
    <row r="111" hidden="1" ht="18" customHeight="1">
      <c r="A111" s="46" t="n"/>
      <c r="B111" s="46" t="n"/>
      <c r="C111" s="46" t="n"/>
      <c r="D111" s="46" t="n"/>
      <c r="E111" s="47" t="n"/>
      <c r="F111" s="47" t="n"/>
      <c r="G111" s="48" t="n"/>
      <c r="H111" s="48" t="n"/>
      <c r="I111" s="48" t="n"/>
      <c r="J111" s="49" t="n"/>
      <c r="K111" s="49" t="n"/>
      <c r="L111" s="49" t="n"/>
      <c r="M111" s="49" t="n"/>
      <c r="N111" s="48" t="n"/>
      <c r="O111" s="50" t="n"/>
      <c r="P111" s="51" t="n"/>
      <c r="Q111" s="48" t="n"/>
      <c r="R111" s="52" t="n"/>
      <c r="S111" s="52" t="n"/>
      <c r="T111" s="47" t="n"/>
      <c r="U111" s="47" t="n"/>
      <c r="V111" s="47" t="n"/>
      <c r="W111" s="47" t="n"/>
    </row>
    <row r="112" hidden="1" ht="18" customHeight="1">
      <c r="A112" s="53" t="n"/>
      <c r="B112" s="53" t="n"/>
      <c r="C112" s="53" t="n"/>
      <c r="D112" s="53" t="n"/>
      <c r="E112" s="54" t="n"/>
      <c r="F112" s="54" t="n"/>
      <c r="G112" s="55" t="n"/>
      <c r="H112" s="55" t="n"/>
      <c r="I112" s="55" t="n"/>
      <c r="J112" s="56" t="n"/>
      <c r="K112" s="56" t="n"/>
      <c r="L112" s="56" t="n"/>
      <c r="M112" s="56" t="n"/>
      <c r="N112" s="55" t="n"/>
      <c r="O112" s="57" t="n"/>
      <c r="P112" s="58" t="n"/>
      <c r="Q112" s="55" t="n"/>
      <c r="R112" s="52" t="n"/>
      <c r="S112" s="52" t="n"/>
      <c r="T112" s="54" t="n"/>
      <c r="U112" s="54" t="n"/>
      <c r="V112" s="54" t="n"/>
      <c r="W112" s="54" t="n"/>
    </row>
    <row r="113" hidden="1" ht="18" customHeight="1">
      <c r="A113" s="46" t="n"/>
      <c r="B113" s="46" t="n"/>
      <c r="C113" s="46" t="n"/>
      <c r="D113" s="46" t="n"/>
      <c r="E113" s="47" t="n"/>
      <c r="F113" s="47" t="n"/>
      <c r="G113" s="48" t="n"/>
      <c r="H113" s="48" t="n"/>
      <c r="I113" s="48" t="n"/>
      <c r="J113" s="49" t="n"/>
      <c r="K113" s="49" t="n"/>
      <c r="L113" s="49" t="n"/>
      <c r="M113" s="49" t="n"/>
      <c r="N113" s="48" t="n"/>
      <c r="O113" s="50" t="n"/>
      <c r="P113" s="51" t="n"/>
      <c r="Q113" s="48" t="n"/>
      <c r="R113" s="52" t="n"/>
      <c r="S113" s="52" t="n"/>
      <c r="T113" s="47" t="n"/>
      <c r="U113" s="47" t="n"/>
      <c r="V113" s="47" t="n"/>
      <c r="W113" s="47" t="n"/>
    </row>
    <row r="114" hidden="1" ht="18" customHeight="1">
      <c r="A114" s="53" t="n"/>
      <c r="B114" s="53" t="n"/>
      <c r="C114" s="53" t="n"/>
      <c r="D114" s="53" t="n"/>
      <c r="E114" s="54" t="n"/>
      <c r="F114" s="54" t="n"/>
      <c r="G114" s="55" t="n"/>
      <c r="H114" s="55" t="n"/>
      <c r="I114" s="55" t="n"/>
      <c r="J114" s="56" t="n"/>
      <c r="K114" s="56" t="n"/>
      <c r="L114" s="56" t="n"/>
      <c r="M114" s="56" t="n"/>
      <c r="N114" s="55" t="n"/>
      <c r="O114" s="57" t="n"/>
      <c r="P114" s="58" t="n"/>
      <c r="Q114" s="55" t="n"/>
      <c r="R114" s="52" t="n"/>
      <c r="S114" s="52" t="n"/>
      <c r="T114" s="54" t="n"/>
      <c r="U114" s="54" t="n"/>
      <c r="V114" s="54" t="n"/>
      <c r="W114" s="54" t="n"/>
    </row>
    <row r="115" hidden="1" ht="18" customHeight="1">
      <c r="A115" s="46" t="n"/>
      <c r="B115" s="46" t="n"/>
      <c r="C115" s="46" t="n"/>
      <c r="D115" s="46" t="n"/>
      <c r="E115" s="47" t="n"/>
      <c r="F115" s="47" t="n"/>
      <c r="G115" s="48" t="n"/>
      <c r="H115" s="48" t="n"/>
      <c r="I115" s="48" t="n"/>
      <c r="J115" s="49" t="n"/>
      <c r="K115" s="49" t="n"/>
      <c r="L115" s="49" t="n"/>
      <c r="M115" s="49" t="n"/>
      <c r="N115" s="48" t="n"/>
      <c r="O115" s="50" t="n"/>
      <c r="P115" s="51" t="n"/>
      <c r="Q115" s="48" t="n"/>
      <c r="R115" s="52" t="n"/>
      <c r="S115" s="52" t="n"/>
      <c r="T115" s="47" t="n"/>
      <c r="U115" s="47" t="n"/>
      <c r="V115" s="47" t="n"/>
      <c r="W115" s="47" t="n"/>
    </row>
    <row r="116" hidden="1" ht="18" customHeight="1">
      <c r="A116" s="53" t="n"/>
      <c r="B116" s="53" t="n"/>
      <c r="C116" s="53" t="n"/>
      <c r="D116" s="53" t="n"/>
      <c r="E116" s="54" t="n"/>
      <c r="F116" s="54" t="n"/>
      <c r="G116" s="55" t="n"/>
      <c r="H116" s="55" t="n"/>
      <c r="I116" s="55" t="n"/>
      <c r="J116" s="56" t="n"/>
      <c r="K116" s="56" t="n"/>
      <c r="L116" s="56" t="n"/>
      <c r="M116" s="56" t="n"/>
      <c r="N116" s="55" t="n"/>
      <c r="O116" s="57" t="n"/>
      <c r="P116" s="58" t="n"/>
      <c r="Q116" s="55" t="n"/>
      <c r="R116" s="52" t="n"/>
      <c r="S116" s="52" t="n"/>
      <c r="T116" s="54" t="n"/>
      <c r="U116" s="54" t="n"/>
      <c r="V116" s="54" t="n"/>
      <c r="W116" s="54" t="n"/>
    </row>
    <row r="117" hidden="1" ht="18" customHeight="1">
      <c r="A117" s="46" t="n"/>
      <c r="B117" s="46" t="n"/>
      <c r="C117" s="46" t="n"/>
      <c r="D117" s="46" t="n"/>
      <c r="E117" s="47" t="n"/>
      <c r="F117" s="47" t="n"/>
      <c r="G117" s="48" t="n"/>
      <c r="H117" s="48" t="n"/>
      <c r="I117" s="48" t="n"/>
      <c r="J117" s="49" t="n"/>
      <c r="K117" s="49" t="n"/>
      <c r="L117" s="49" t="n"/>
      <c r="M117" s="49" t="n"/>
      <c r="N117" s="48" t="n"/>
      <c r="O117" s="50" t="n"/>
      <c r="P117" s="51" t="n"/>
      <c r="Q117" s="48" t="n"/>
      <c r="R117" s="52" t="n"/>
      <c r="S117" s="52" t="n"/>
      <c r="T117" s="47" t="n"/>
      <c r="U117" s="47" t="n"/>
      <c r="V117" s="47" t="n"/>
      <c r="W117" s="47" t="n"/>
    </row>
    <row r="118" hidden="1" ht="18" customHeight="1">
      <c r="A118" s="53" t="n"/>
      <c r="B118" s="53" t="n"/>
      <c r="C118" s="53" t="n"/>
      <c r="D118" s="53" t="n"/>
      <c r="E118" s="54" t="n"/>
      <c r="F118" s="54" t="n"/>
      <c r="G118" s="55" t="n"/>
      <c r="H118" s="55" t="n"/>
      <c r="I118" s="55" t="n"/>
      <c r="J118" s="56" t="n"/>
      <c r="K118" s="56" t="n"/>
      <c r="L118" s="56" t="n"/>
      <c r="M118" s="56" t="n"/>
      <c r="N118" s="55" t="n"/>
      <c r="O118" s="57" t="n"/>
      <c r="P118" s="58" t="n"/>
      <c r="Q118" s="55" t="n"/>
      <c r="R118" s="52" t="n"/>
      <c r="S118" s="52" t="n"/>
      <c r="T118" s="54" t="n"/>
      <c r="U118" s="54" t="n"/>
      <c r="V118" s="54" t="n"/>
      <c r="W118" s="54" t="n"/>
    </row>
    <row r="119" hidden="1" ht="18" customHeight="1">
      <c r="A119" s="46" t="n"/>
      <c r="B119" s="46" t="n"/>
      <c r="C119" s="46" t="n"/>
      <c r="D119" s="46" t="n"/>
      <c r="E119" s="47" t="n"/>
      <c r="F119" s="47" t="n"/>
      <c r="G119" s="48" t="n"/>
      <c r="H119" s="48" t="n"/>
      <c r="I119" s="48" t="n"/>
      <c r="J119" s="49" t="n"/>
      <c r="K119" s="49" t="n"/>
      <c r="L119" s="49" t="n"/>
      <c r="M119" s="49" t="n"/>
      <c r="N119" s="48" t="n"/>
      <c r="O119" s="50" t="n"/>
      <c r="P119" s="51" t="n"/>
      <c r="Q119" s="48" t="n"/>
      <c r="R119" s="52" t="n"/>
      <c r="S119" s="52" t="n"/>
      <c r="T119" s="47" t="n"/>
      <c r="U119" s="47" t="n"/>
      <c r="V119" s="47" t="n"/>
      <c r="W119" s="47" t="n"/>
    </row>
    <row r="120" hidden="1" ht="18" customHeight="1">
      <c r="A120" s="53" t="n"/>
      <c r="B120" s="53" t="n"/>
      <c r="C120" s="53" t="n"/>
      <c r="D120" s="53" t="n"/>
      <c r="E120" s="54" t="n"/>
      <c r="F120" s="54" t="n"/>
      <c r="G120" s="55" t="n"/>
      <c r="H120" s="55" t="n"/>
      <c r="I120" s="55" t="n"/>
      <c r="J120" s="56" t="n"/>
      <c r="K120" s="56" t="n"/>
      <c r="L120" s="56" t="n"/>
      <c r="M120" s="56" t="n"/>
      <c r="N120" s="55" t="n"/>
      <c r="O120" s="57" t="n"/>
      <c r="P120" s="58" t="n"/>
      <c r="Q120" s="55" t="n"/>
      <c r="R120" s="52" t="n"/>
      <c r="S120" s="52" t="n"/>
      <c r="T120" s="54" t="n"/>
      <c r="U120" s="54" t="n"/>
      <c r="V120" s="54" t="n"/>
      <c r="W120" s="54" t="n"/>
    </row>
    <row r="121" hidden="1" ht="18" customHeight="1">
      <c r="A121" s="46" t="n"/>
      <c r="B121" s="46" t="n"/>
      <c r="C121" s="46" t="n"/>
      <c r="D121" s="46" t="n"/>
      <c r="E121" s="47" t="n"/>
      <c r="F121" s="47" t="n"/>
      <c r="G121" s="48" t="n"/>
      <c r="H121" s="48" t="n"/>
      <c r="I121" s="48" t="n"/>
      <c r="J121" s="49" t="n"/>
      <c r="K121" s="49" t="n"/>
      <c r="L121" s="49" t="n"/>
      <c r="M121" s="49" t="n"/>
      <c r="N121" s="48" t="n"/>
      <c r="O121" s="50" t="n"/>
      <c r="P121" s="51" t="n"/>
      <c r="Q121" s="48" t="n"/>
      <c r="R121" s="52" t="n"/>
      <c r="S121" s="52" t="n"/>
      <c r="T121" s="47" t="n"/>
      <c r="U121" s="47" t="n"/>
      <c r="V121" s="47" t="n"/>
      <c r="W121" s="47" t="n"/>
    </row>
    <row r="122" hidden="1" ht="18" customHeight="1">
      <c r="A122" s="53" t="n"/>
      <c r="B122" s="53" t="n"/>
      <c r="C122" s="53" t="n"/>
      <c r="D122" s="53" t="n"/>
      <c r="E122" s="54" t="n"/>
      <c r="F122" s="54" t="n"/>
      <c r="G122" s="55" t="n"/>
      <c r="H122" s="55" t="n"/>
      <c r="I122" s="55" t="n"/>
      <c r="J122" s="56" t="n"/>
      <c r="K122" s="56" t="n"/>
      <c r="L122" s="56" t="n"/>
      <c r="M122" s="56" t="n"/>
      <c r="N122" s="55" t="n"/>
      <c r="O122" s="57" t="n"/>
      <c r="P122" s="58" t="n"/>
      <c r="Q122" s="55" t="n"/>
      <c r="R122" s="52" t="n"/>
      <c r="S122" s="52" t="n"/>
      <c r="T122" s="54" t="n"/>
      <c r="U122" s="54" t="n"/>
      <c r="V122" s="54" t="n"/>
      <c r="W122" s="54" t="n"/>
    </row>
    <row r="123" hidden="1" ht="18" customHeight="1">
      <c r="A123" s="46" t="n"/>
      <c r="B123" s="46" t="n"/>
      <c r="C123" s="46" t="n"/>
      <c r="D123" s="46" t="n"/>
      <c r="E123" s="47" t="n"/>
      <c r="F123" s="47" t="n"/>
      <c r="G123" s="48" t="n"/>
      <c r="H123" s="48" t="n"/>
      <c r="I123" s="48" t="n"/>
      <c r="J123" s="49" t="n"/>
      <c r="K123" s="49" t="n"/>
      <c r="L123" s="49" t="n"/>
      <c r="M123" s="49" t="n"/>
      <c r="N123" s="48" t="n"/>
      <c r="O123" s="50" t="n"/>
      <c r="P123" s="51" t="n"/>
      <c r="Q123" s="48" t="n"/>
      <c r="R123" s="52" t="n"/>
      <c r="S123" s="52" t="n"/>
      <c r="T123" s="47" t="n"/>
      <c r="U123" s="47" t="n"/>
      <c r="V123" s="47" t="n"/>
      <c r="W123" s="47" t="n"/>
    </row>
    <row r="124" hidden="1" ht="18" customHeight="1">
      <c r="A124" s="53" t="n"/>
      <c r="B124" s="53" t="n"/>
      <c r="C124" s="53" t="n"/>
      <c r="D124" s="53" t="n"/>
      <c r="E124" s="54" t="n"/>
      <c r="F124" s="54" t="n"/>
      <c r="G124" s="55" t="n"/>
      <c r="H124" s="55" t="n"/>
      <c r="I124" s="55" t="n"/>
      <c r="J124" s="56" t="n"/>
      <c r="K124" s="56" t="n"/>
      <c r="L124" s="56" t="n"/>
      <c r="M124" s="56" t="n"/>
      <c r="N124" s="55" t="n"/>
      <c r="O124" s="57" t="n"/>
      <c r="P124" s="58" t="n"/>
      <c r="Q124" s="55" t="n"/>
      <c r="R124" s="52" t="n"/>
      <c r="S124" s="52" t="n"/>
      <c r="T124" s="54" t="n"/>
      <c r="U124" s="54" t="n"/>
      <c r="V124" s="54" t="n"/>
      <c r="W124" s="54" t="n"/>
    </row>
    <row r="125" hidden="1" ht="18" customHeight="1">
      <c r="A125" s="46" t="n"/>
      <c r="B125" s="46" t="n"/>
      <c r="C125" s="46" t="n"/>
      <c r="D125" s="46" t="n"/>
      <c r="E125" s="47" t="n"/>
      <c r="F125" s="47" t="n"/>
      <c r="G125" s="48" t="n"/>
      <c r="H125" s="48" t="n"/>
      <c r="I125" s="48" t="n"/>
      <c r="J125" s="49" t="n"/>
      <c r="K125" s="49" t="n"/>
      <c r="L125" s="49" t="n"/>
      <c r="M125" s="49" t="n"/>
      <c r="N125" s="48" t="n"/>
      <c r="O125" s="50" t="n"/>
      <c r="P125" s="51" t="n"/>
      <c r="Q125" s="48" t="n"/>
      <c r="R125" s="52" t="n"/>
      <c r="S125" s="52" t="n"/>
      <c r="T125" s="47" t="n"/>
      <c r="U125" s="47" t="n"/>
      <c r="V125" s="47" t="n"/>
      <c r="W125" s="47" t="n"/>
    </row>
    <row r="126" hidden="1" ht="18" customHeight="1">
      <c r="A126" s="53" t="n"/>
      <c r="B126" s="53" t="n"/>
      <c r="C126" s="53" t="n"/>
      <c r="D126" s="53" t="n"/>
      <c r="E126" s="54" t="n"/>
      <c r="F126" s="54" t="n"/>
      <c r="G126" s="55" t="n"/>
      <c r="H126" s="55" t="n"/>
      <c r="I126" s="55" t="n"/>
      <c r="J126" s="56" t="n"/>
      <c r="K126" s="56" t="n"/>
      <c r="L126" s="56" t="n"/>
      <c r="M126" s="56" t="n"/>
      <c r="N126" s="55" t="n"/>
      <c r="O126" s="57" t="n"/>
      <c r="P126" s="58" t="n"/>
      <c r="Q126" s="55" t="n"/>
      <c r="R126" s="52" t="n"/>
      <c r="S126" s="52" t="n"/>
      <c r="T126" s="54" t="n"/>
      <c r="U126" s="54" t="n"/>
      <c r="V126" s="54" t="n"/>
      <c r="W126" s="54" t="n"/>
    </row>
    <row r="127" hidden="1" ht="18" customHeight="1">
      <c r="A127" s="46" t="n"/>
      <c r="B127" s="46" t="n"/>
      <c r="C127" s="46" t="n"/>
      <c r="D127" s="46" t="n"/>
      <c r="E127" s="47" t="n"/>
      <c r="F127" s="47" t="n"/>
      <c r="G127" s="48" t="n"/>
      <c r="H127" s="48" t="n"/>
      <c r="I127" s="48" t="n"/>
      <c r="J127" s="49" t="n"/>
      <c r="K127" s="49" t="n"/>
      <c r="L127" s="49" t="n"/>
      <c r="M127" s="49" t="n"/>
      <c r="N127" s="48" t="n"/>
      <c r="O127" s="50" t="n"/>
      <c r="P127" s="51" t="n"/>
      <c r="Q127" s="48" t="n"/>
      <c r="R127" s="52" t="n"/>
      <c r="S127" s="52" t="n"/>
      <c r="T127" s="47" t="n"/>
      <c r="U127" s="47" t="n"/>
      <c r="V127" s="47" t="n"/>
      <c r="W127" s="47" t="n"/>
    </row>
    <row r="128" hidden="1" ht="18" customHeight="1">
      <c r="A128" s="53" t="n"/>
      <c r="B128" s="53" t="n"/>
      <c r="C128" s="53" t="n"/>
      <c r="D128" s="53" t="n"/>
      <c r="E128" s="54" t="n"/>
      <c r="F128" s="54" t="n"/>
      <c r="G128" s="55" t="n"/>
      <c r="H128" s="55" t="n"/>
      <c r="I128" s="55" t="n"/>
      <c r="J128" s="56" t="n"/>
      <c r="K128" s="56" t="n"/>
      <c r="L128" s="56" t="n"/>
      <c r="M128" s="56" t="n"/>
      <c r="N128" s="55" t="n"/>
      <c r="O128" s="57" t="n"/>
      <c r="P128" s="58" t="n"/>
      <c r="Q128" s="55" t="n"/>
      <c r="R128" s="52" t="n"/>
      <c r="S128" s="52" t="n"/>
      <c r="T128" s="54" t="n"/>
      <c r="U128" s="54" t="n"/>
      <c r="V128" s="54" t="n"/>
      <c r="W128" s="54" t="n"/>
    </row>
    <row r="129" hidden="1" ht="18" customHeight="1">
      <c r="A129" s="46" t="n"/>
      <c r="B129" s="46" t="n"/>
      <c r="C129" s="46" t="n"/>
      <c r="D129" s="46" t="n"/>
      <c r="E129" s="47" t="n"/>
      <c r="F129" s="47" t="n"/>
      <c r="G129" s="48" t="n"/>
      <c r="H129" s="48" t="n"/>
      <c r="I129" s="48" t="n"/>
      <c r="J129" s="49" t="n"/>
      <c r="K129" s="49" t="n"/>
      <c r="L129" s="49" t="n"/>
      <c r="M129" s="49" t="n"/>
      <c r="N129" s="48" t="n"/>
      <c r="O129" s="50" t="n"/>
      <c r="P129" s="51" t="n"/>
      <c r="Q129" s="48" t="n"/>
      <c r="R129" s="52" t="n"/>
      <c r="S129" s="52" t="n"/>
      <c r="T129" s="47" t="n"/>
      <c r="U129" s="47" t="n"/>
      <c r="V129" s="47" t="n"/>
      <c r="W129" s="47" t="n"/>
    </row>
    <row r="130" hidden="1" ht="18" customHeight="1">
      <c r="A130" s="53" t="n"/>
      <c r="B130" s="53" t="n"/>
      <c r="C130" s="53" t="n"/>
      <c r="D130" s="53" t="n"/>
      <c r="E130" s="54" t="n"/>
      <c r="F130" s="54" t="n"/>
      <c r="G130" s="55" t="n"/>
      <c r="H130" s="55" t="n"/>
      <c r="I130" s="55" t="n"/>
      <c r="J130" s="56" t="n"/>
      <c r="K130" s="56" t="n"/>
      <c r="L130" s="56" t="n"/>
      <c r="M130" s="56" t="n"/>
      <c r="N130" s="55" t="n"/>
      <c r="O130" s="57" t="n"/>
      <c r="P130" s="58" t="n"/>
      <c r="Q130" s="55" t="n"/>
      <c r="R130" s="52" t="n"/>
      <c r="S130" s="52" t="n"/>
      <c r="T130" s="54" t="n"/>
      <c r="U130" s="54" t="n"/>
      <c r="V130" s="54" t="n"/>
      <c r="W130" s="54" t="n"/>
    </row>
    <row r="131" hidden="1" ht="18" customHeight="1">
      <c r="A131" s="46" t="n"/>
      <c r="B131" s="46" t="n"/>
      <c r="C131" s="46" t="n"/>
      <c r="D131" s="46" t="n"/>
      <c r="E131" s="47" t="n"/>
      <c r="F131" s="47" t="n"/>
      <c r="G131" s="48" t="n"/>
      <c r="H131" s="48" t="n"/>
      <c r="I131" s="48" t="n"/>
      <c r="J131" s="49" t="n"/>
      <c r="K131" s="49" t="n"/>
      <c r="L131" s="49" t="n"/>
      <c r="M131" s="49" t="n"/>
      <c r="N131" s="48" t="n"/>
      <c r="O131" s="50" t="n"/>
      <c r="P131" s="51" t="n"/>
      <c r="Q131" s="48" t="n"/>
      <c r="R131" s="52" t="n"/>
      <c r="S131" s="52" t="n"/>
      <c r="T131" s="47" t="n"/>
      <c r="U131" s="47" t="n"/>
      <c r="V131" s="47" t="n"/>
      <c r="W131" s="47" t="n"/>
    </row>
    <row r="132" hidden="1" ht="18" customHeight="1">
      <c r="A132" s="53" t="n"/>
      <c r="B132" s="53" t="n"/>
      <c r="C132" s="53" t="n"/>
      <c r="D132" s="53" t="n"/>
      <c r="E132" s="54" t="n"/>
      <c r="F132" s="54" t="n"/>
      <c r="G132" s="55" t="n"/>
      <c r="H132" s="55" t="n"/>
      <c r="I132" s="55" t="n"/>
      <c r="J132" s="56" t="n"/>
      <c r="K132" s="56" t="n"/>
      <c r="L132" s="56" t="n"/>
      <c r="M132" s="56" t="n"/>
      <c r="N132" s="55" t="n"/>
      <c r="O132" s="57" t="n"/>
      <c r="P132" s="58" t="n"/>
      <c r="Q132" s="55" t="n"/>
      <c r="R132" s="52" t="n"/>
      <c r="S132" s="52" t="n"/>
      <c r="T132" s="54" t="n"/>
      <c r="U132" s="54" t="n"/>
      <c r="V132" s="54" t="n"/>
      <c r="W132" s="54" t="n"/>
    </row>
    <row r="133" hidden="1" ht="18" customHeight="1">
      <c r="A133" s="46" t="n"/>
      <c r="B133" s="46" t="n"/>
      <c r="C133" s="46" t="n"/>
      <c r="D133" s="46" t="n"/>
      <c r="E133" s="47" t="n"/>
      <c r="F133" s="47" t="n"/>
      <c r="G133" s="48" t="n"/>
      <c r="H133" s="48" t="n"/>
      <c r="I133" s="48" t="n"/>
      <c r="J133" s="49" t="n"/>
      <c r="K133" s="49" t="n"/>
      <c r="L133" s="49" t="n"/>
      <c r="M133" s="49" t="n"/>
      <c r="N133" s="48" t="n"/>
      <c r="O133" s="50" t="n"/>
      <c r="P133" s="51" t="n"/>
      <c r="Q133" s="48" t="n"/>
      <c r="R133" s="52" t="n"/>
      <c r="S133" s="52" t="n"/>
      <c r="T133" s="47" t="n"/>
      <c r="U133" s="47" t="n"/>
      <c r="V133" s="47" t="n"/>
      <c r="W133" s="47" t="n"/>
    </row>
    <row r="134" hidden="1" ht="18" customHeight="1">
      <c r="A134" s="53" t="n"/>
      <c r="B134" s="53" t="n"/>
      <c r="C134" s="53" t="n"/>
      <c r="D134" s="53" t="n"/>
      <c r="E134" s="54" t="n"/>
      <c r="F134" s="54" t="n"/>
      <c r="G134" s="55" t="n"/>
      <c r="H134" s="55" t="n"/>
      <c r="I134" s="55" t="n"/>
      <c r="J134" s="56" t="n"/>
      <c r="K134" s="56" t="n"/>
      <c r="L134" s="56" t="n"/>
      <c r="M134" s="56" t="n"/>
      <c r="N134" s="55" t="n"/>
      <c r="O134" s="57" t="n"/>
      <c r="P134" s="58" t="n"/>
      <c r="Q134" s="55" t="n"/>
      <c r="R134" s="52" t="n"/>
      <c r="S134" s="52" t="n"/>
      <c r="T134" s="54" t="n"/>
      <c r="U134" s="54" t="n"/>
      <c r="V134" s="54" t="n"/>
      <c r="W134" s="54" t="n"/>
    </row>
    <row r="135" hidden="1" ht="18" customHeight="1">
      <c r="A135" s="46" t="n"/>
      <c r="B135" s="46" t="n"/>
      <c r="C135" s="46" t="n"/>
      <c r="D135" s="46" t="n"/>
      <c r="E135" s="47" t="n"/>
      <c r="F135" s="47" t="n"/>
      <c r="G135" s="48" t="n"/>
      <c r="H135" s="48" t="n"/>
      <c r="I135" s="48" t="n"/>
      <c r="J135" s="49" t="n"/>
      <c r="K135" s="49" t="n"/>
      <c r="L135" s="49" t="n"/>
      <c r="M135" s="49" t="n"/>
      <c r="N135" s="48" t="n"/>
      <c r="O135" s="50" t="n"/>
      <c r="P135" s="51" t="n"/>
      <c r="Q135" s="48" t="n"/>
      <c r="R135" s="52" t="n"/>
      <c r="S135" s="52" t="n"/>
      <c r="T135" s="47" t="n"/>
      <c r="U135" s="47" t="n"/>
      <c r="V135" s="47" t="n"/>
      <c r="W135" s="47" t="n"/>
    </row>
    <row r="136" hidden="1" ht="18" customHeight="1">
      <c r="A136" s="53" t="n"/>
      <c r="B136" s="53" t="n"/>
      <c r="C136" s="53" t="n"/>
      <c r="D136" s="53" t="n"/>
      <c r="E136" s="54" t="n"/>
      <c r="F136" s="54" t="n"/>
      <c r="G136" s="55" t="n"/>
      <c r="H136" s="55" t="n"/>
      <c r="I136" s="55" t="n"/>
      <c r="J136" s="56" t="n"/>
      <c r="K136" s="56" t="n"/>
      <c r="L136" s="56" t="n"/>
      <c r="M136" s="56" t="n"/>
      <c r="N136" s="55" t="n"/>
      <c r="O136" s="57" t="n"/>
      <c r="P136" s="58" t="n"/>
      <c r="Q136" s="55" t="n"/>
      <c r="R136" s="52" t="n"/>
      <c r="S136" s="52" t="n"/>
      <c r="T136" s="54" t="n"/>
      <c r="U136" s="54" t="n"/>
      <c r="V136" s="54" t="n"/>
      <c r="W136" s="54" t="n"/>
    </row>
    <row r="137" hidden="1" ht="18" customHeight="1">
      <c r="A137" s="46" t="n"/>
      <c r="B137" s="46" t="n"/>
      <c r="C137" s="46" t="n"/>
      <c r="D137" s="46" t="n"/>
      <c r="E137" s="47" t="n"/>
      <c r="F137" s="47" t="n"/>
      <c r="G137" s="48" t="n"/>
      <c r="H137" s="48" t="n"/>
      <c r="I137" s="48" t="n"/>
      <c r="J137" s="49" t="n"/>
      <c r="K137" s="49" t="n"/>
      <c r="L137" s="49" t="n"/>
      <c r="M137" s="49" t="n"/>
      <c r="N137" s="48" t="n"/>
      <c r="O137" s="50" t="n"/>
      <c r="P137" s="51" t="n"/>
      <c r="Q137" s="48" t="n"/>
      <c r="R137" s="52" t="n"/>
      <c r="S137" s="52" t="n"/>
      <c r="T137" s="47" t="n"/>
      <c r="U137" s="47" t="n"/>
      <c r="V137" s="47" t="n"/>
      <c r="W137" s="47" t="n"/>
    </row>
    <row r="138" hidden="1" ht="18" customHeight="1">
      <c r="A138" s="53" t="n"/>
      <c r="B138" s="53" t="n"/>
      <c r="C138" s="53" t="n"/>
      <c r="D138" s="53" t="n"/>
      <c r="E138" s="54" t="n"/>
      <c r="F138" s="54" t="n"/>
      <c r="G138" s="55" t="n"/>
      <c r="H138" s="55" t="n"/>
      <c r="I138" s="55" t="n"/>
      <c r="J138" s="56" t="n"/>
      <c r="K138" s="56" t="n"/>
      <c r="L138" s="56" t="n"/>
      <c r="M138" s="56" t="n"/>
      <c r="N138" s="55" t="n"/>
      <c r="O138" s="57" t="n"/>
      <c r="P138" s="58" t="n"/>
      <c r="Q138" s="55" t="n"/>
      <c r="R138" s="52" t="n"/>
      <c r="S138" s="52" t="n"/>
      <c r="T138" s="54" t="n"/>
      <c r="U138" s="54" t="n"/>
      <c r="V138" s="54" t="n"/>
      <c r="W138" s="54" t="n"/>
    </row>
    <row r="139" hidden="1" ht="18" customHeight="1">
      <c r="A139" s="46" t="n"/>
      <c r="B139" s="46" t="n"/>
      <c r="C139" s="46" t="n"/>
      <c r="D139" s="46" t="n"/>
      <c r="E139" s="47" t="n"/>
      <c r="F139" s="47" t="n"/>
      <c r="G139" s="48" t="n"/>
      <c r="H139" s="48" t="n"/>
      <c r="I139" s="48" t="n"/>
      <c r="J139" s="49" t="n"/>
      <c r="K139" s="49" t="n"/>
      <c r="L139" s="49" t="n"/>
      <c r="M139" s="49" t="n"/>
      <c r="N139" s="48" t="n"/>
      <c r="O139" s="50" t="n"/>
      <c r="P139" s="51" t="n"/>
      <c r="Q139" s="48" t="n"/>
      <c r="R139" s="52" t="n"/>
      <c r="S139" s="52" t="n"/>
      <c r="T139" s="47" t="n"/>
      <c r="U139" s="47" t="n"/>
      <c r="V139" s="47" t="n"/>
      <c r="W139" s="47" t="n"/>
    </row>
    <row r="140" hidden="1" ht="18" customHeight="1">
      <c r="A140" s="53" t="n"/>
      <c r="B140" s="53" t="n"/>
      <c r="C140" s="53" t="n"/>
      <c r="D140" s="53" t="n"/>
      <c r="E140" s="54" t="n"/>
      <c r="F140" s="54" t="n"/>
      <c r="G140" s="55" t="n"/>
      <c r="H140" s="55" t="n"/>
      <c r="I140" s="55" t="n"/>
      <c r="J140" s="56" t="n"/>
      <c r="K140" s="56" t="n"/>
      <c r="L140" s="56" t="n"/>
      <c r="M140" s="56" t="n"/>
      <c r="N140" s="55" t="n"/>
      <c r="O140" s="57" t="n"/>
      <c r="P140" s="58" t="n"/>
      <c r="Q140" s="55" t="n"/>
      <c r="R140" s="52" t="n"/>
      <c r="S140" s="52" t="n"/>
      <c r="T140" s="54" t="n"/>
      <c r="U140" s="54" t="n"/>
      <c r="V140" s="54" t="n"/>
      <c r="W140" s="54" t="n"/>
    </row>
    <row r="141" hidden="1" ht="18" customHeight="1">
      <c r="A141" s="46" t="n"/>
      <c r="B141" s="46" t="n"/>
      <c r="C141" s="46" t="n"/>
      <c r="D141" s="46" t="n"/>
      <c r="E141" s="47" t="n"/>
      <c r="F141" s="47" t="n"/>
      <c r="G141" s="48" t="n"/>
      <c r="H141" s="48" t="n"/>
      <c r="I141" s="48" t="n"/>
      <c r="J141" s="49" t="n"/>
      <c r="K141" s="49" t="n"/>
      <c r="L141" s="49" t="n"/>
      <c r="M141" s="49" t="n"/>
      <c r="N141" s="48" t="n"/>
      <c r="O141" s="50" t="n"/>
      <c r="P141" s="51" t="n"/>
      <c r="Q141" s="48" t="n"/>
      <c r="R141" s="52" t="n"/>
      <c r="S141" s="52" t="n"/>
      <c r="T141" s="47" t="n"/>
      <c r="U141" s="47" t="n"/>
      <c r="V141" s="47" t="n"/>
      <c r="W141" s="47" t="n"/>
    </row>
    <row r="142" hidden="1" ht="18" customHeight="1">
      <c r="A142" s="53" t="n"/>
      <c r="B142" s="53" t="n"/>
      <c r="C142" s="53" t="n"/>
      <c r="D142" s="53" t="n"/>
      <c r="E142" s="54" t="n"/>
      <c r="F142" s="54" t="n"/>
      <c r="G142" s="55" t="n"/>
      <c r="H142" s="55" t="n"/>
      <c r="I142" s="55" t="n"/>
      <c r="J142" s="56" t="n"/>
      <c r="K142" s="56" t="n"/>
      <c r="L142" s="56" t="n"/>
      <c r="M142" s="56" t="n"/>
      <c r="N142" s="55" t="n"/>
      <c r="O142" s="57" t="n"/>
      <c r="P142" s="58" t="n"/>
      <c r="Q142" s="55" t="n"/>
      <c r="R142" s="52" t="n"/>
      <c r="S142" s="52" t="n"/>
      <c r="T142" s="54" t="n"/>
      <c r="U142" s="54" t="n"/>
      <c r="V142" s="54" t="n"/>
      <c r="W142" s="54" t="n"/>
    </row>
    <row r="143" hidden="1" ht="18" customHeight="1">
      <c r="A143" s="46" t="n"/>
      <c r="B143" s="46" t="n"/>
      <c r="C143" s="46" t="n"/>
      <c r="D143" s="46" t="n"/>
      <c r="E143" s="47" t="n"/>
      <c r="F143" s="47" t="n"/>
      <c r="G143" s="48" t="n"/>
      <c r="H143" s="48" t="n"/>
      <c r="I143" s="48" t="n"/>
      <c r="J143" s="49" t="n"/>
      <c r="K143" s="49" t="n"/>
      <c r="L143" s="49" t="n"/>
      <c r="M143" s="49" t="n"/>
      <c r="N143" s="48" t="n"/>
      <c r="O143" s="50" t="n"/>
      <c r="P143" s="51" t="n"/>
      <c r="Q143" s="48" t="n"/>
      <c r="R143" s="52" t="n"/>
      <c r="S143" s="52" t="n"/>
      <c r="T143" s="47" t="n"/>
      <c r="U143" s="47" t="n"/>
      <c r="V143" s="47" t="n"/>
      <c r="W143" s="47" t="n"/>
    </row>
    <row r="144" hidden="1" ht="18" customHeight="1">
      <c r="A144" s="53" t="n"/>
      <c r="B144" s="53" t="n"/>
      <c r="C144" s="53" t="n"/>
      <c r="D144" s="53" t="n"/>
      <c r="E144" s="54" t="n"/>
      <c r="F144" s="54" t="n"/>
      <c r="G144" s="55" t="n"/>
      <c r="H144" s="55" t="n"/>
      <c r="I144" s="55" t="n"/>
      <c r="J144" s="56" t="n"/>
      <c r="K144" s="56" t="n"/>
      <c r="L144" s="56" t="n"/>
      <c r="M144" s="56" t="n"/>
      <c r="N144" s="55" t="n"/>
      <c r="O144" s="57" t="n"/>
      <c r="P144" s="58" t="n"/>
      <c r="Q144" s="55" t="n"/>
      <c r="R144" s="52" t="n"/>
      <c r="S144" s="52" t="n"/>
      <c r="T144" s="54" t="n"/>
      <c r="U144" s="54" t="n"/>
      <c r="V144" s="54" t="n"/>
      <c r="W144" s="54" t="n"/>
    </row>
    <row r="145" hidden="1" ht="18" customHeight="1">
      <c r="A145" s="46" t="n"/>
      <c r="B145" s="46" t="n"/>
      <c r="C145" s="46" t="n"/>
      <c r="D145" s="46" t="n"/>
      <c r="E145" s="47" t="n"/>
      <c r="F145" s="47" t="n"/>
      <c r="G145" s="48" t="n"/>
      <c r="H145" s="48" t="n"/>
      <c r="I145" s="48" t="n"/>
      <c r="J145" s="49" t="n"/>
      <c r="K145" s="49" t="n"/>
      <c r="L145" s="49" t="n"/>
      <c r="M145" s="49" t="n"/>
      <c r="N145" s="48" t="n"/>
      <c r="O145" s="50" t="n"/>
      <c r="P145" s="51" t="n"/>
      <c r="Q145" s="48" t="n"/>
      <c r="R145" s="52" t="n"/>
      <c r="S145" s="52" t="n"/>
      <c r="T145" s="47" t="n"/>
      <c r="U145" s="47" t="n"/>
      <c r="V145" s="47" t="n"/>
      <c r="W145" s="47" t="n"/>
    </row>
    <row r="146" hidden="1" ht="18" customHeight="1">
      <c r="A146" s="53" t="n"/>
      <c r="B146" s="53" t="n"/>
      <c r="C146" s="53" t="n"/>
      <c r="D146" s="53" t="n"/>
      <c r="E146" s="54" t="n"/>
      <c r="F146" s="54" t="n"/>
      <c r="G146" s="55" t="n"/>
      <c r="H146" s="55" t="n"/>
      <c r="I146" s="55" t="n"/>
      <c r="J146" s="56" t="n"/>
      <c r="K146" s="56" t="n"/>
      <c r="L146" s="56" t="n"/>
      <c r="M146" s="56" t="n"/>
      <c r="N146" s="55" t="n"/>
      <c r="O146" s="57" t="n"/>
      <c r="P146" s="58" t="n"/>
      <c r="Q146" s="55" t="n"/>
      <c r="R146" s="52" t="n"/>
      <c r="S146" s="52" t="n"/>
      <c r="T146" s="54" t="n"/>
      <c r="U146" s="54" t="n"/>
      <c r="V146" s="54" t="n"/>
      <c r="W146" s="54" t="n"/>
    </row>
    <row r="147" hidden="1" ht="18" customHeight="1">
      <c r="A147" s="46" t="n"/>
      <c r="B147" s="46" t="n"/>
      <c r="C147" s="46" t="n"/>
      <c r="D147" s="46" t="n"/>
      <c r="E147" s="47" t="n"/>
      <c r="F147" s="47" t="n"/>
      <c r="G147" s="48" t="n"/>
      <c r="H147" s="48" t="n"/>
      <c r="I147" s="48" t="n"/>
      <c r="J147" s="49" t="n"/>
      <c r="K147" s="49" t="n"/>
      <c r="L147" s="49" t="n"/>
      <c r="M147" s="49" t="n"/>
      <c r="N147" s="48" t="n"/>
      <c r="O147" s="50" t="n"/>
      <c r="P147" s="51" t="n"/>
      <c r="Q147" s="48" t="n"/>
      <c r="R147" s="52" t="n"/>
      <c r="S147" s="52" t="n"/>
      <c r="T147" s="47" t="n"/>
      <c r="U147" s="47" t="n"/>
      <c r="V147" s="47" t="n"/>
      <c r="W147" s="47" t="n"/>
    </row>
    <row r="148" hidden="1" ht="18" customHeight="1">
      <c r="A148" s="53" t="n"/>
      <c r="B148" s="53" t="n"/>
      <c r="C148" s="53" t="n"/>
      <c r="D148" s="53" t="n"/>
      <c r="E148" s="54" t="n"/>
      <c r="F148" s="54" t="n"/>
      <c r="G148" s="55" t="n"/>
      <c r="H148" s="55" t="n"/>
      <c r="I148" s="55" t="n"/>
      <c r="J148" s="56" t="n"/>
      <c r="K148" s="56" t="n"/>
      <c r="L148" s="56" t="n"/>
      <c r="M148" s="56" t="n"/>
      <c r="N148" s="55" t="n"/>
      <c r="O148" s="57" t="n"/>
      <c r="P148" s="58" t="n"/>
      <c r="Q148" s="55" t="n"/>
      <c r="R148" s="52" t="n"/>
      <c r="S148" s="52" t="n"/>
      <c r="T148" s="54" t="n"/>
      <c r="U148" s="54" t="n"/>
      <c r="V148" s="54" t="n"/>
      <c r="W148" s="54" t="n"/>
    </row>
    <row r="149" hidden="1" ht="18" customHeight="1">
      <c r="A149" s="46" t="n"/>
      <c r="B149" s="46" t="n"/>
      <c r="C149" s="46" t="n"/>
      <c r="D149" s="46" t="n"/>
      <c r="E149" s="47" t="n"/>
      <c r="F149" s="47" t="n"/>
      <c r="G149" s="48" t="n"/>
      <c r="H149" s="48" t="n"/>
      <c r="I149" s="48" t="n"/>
      <c r="J149" s="49" t="n"/>
      <c r="K149" s="49" t="n"/>
      <c r="L149" s="49" t="n"/>
      <c r="M149" s="49" t="n"/>
      <c r="N149" s="48" t="n"/>
      <c r="O149" s="50" t="n"/>
      <c r="P149" s="51" t="n"/>
      <c r="Q149" s="48" t="n"/>
      <c r="R149" s="52" t="n"/>
      <c r="S149" s="52" t="n"/>
      <c r="T149" s="47" t="n"/>
      <c r="U149" s="47" t="n"/>
      <c r="V149" s="47" t="n"/>
      <c r="W149" s="47" t="n"/>
    </row>
    <row r="150" hidden="1" ht="18" customHeight="1">
      <c r="A150" s="53" t="n"/>
      <c r="B150" s="53" t="n"/>
      <c r="C150" s="53" t="n"/>
      <c r="D150" s="53" t="n"/>
      <c r="E150" s="54" t="n"/>
      <c r="F150" s="54" t="n"/>
      <c r="G150" s="55" t="n"/>
      <c r="H150" s="55" t="n"/>
      <c r="I150" s="55" t="n"/>
      <c r="J150" s="56" t="n"/>
      <c r="K150" s="56" t="n"/>
      <c r="L150" s="56" t="n"/>
      <c r="M150" s="56" t="n"/>
      <c r="N150" s="55" t="n"/>
      <c r="O150" s="57" t="n"/>
      <c r="P150" s="58" t="n"/>
      <c r="Q150" s="55" t="n"/>
      <c r="R150" s="52" t="n"/>
      <c r="S150" s="52" t="n"/>
      <c r="T150" s="54" t="n"/>
      <c r="U150" s="54" t="n"/>
      <c r="V150" s="54" t="n"/>
      <c r="W150" s="54" t="n"/>
    </row>
  </sheetData>
  <mergeCells count="2">
    <mergeCell ref="A2:W2"/>
    <mergeCell ref="A1:W1"/>
  </mergeCells>
  <conditionalFormatting sqref="A7:W150">
    <cfRule type="expression" priority="7" dxfId="49">
      <formula>$Q7="Có"</formula>
    </cfRule>
    <cfRule type="expression" priority="8" dxfId="48">
      <formula>AND($A7&lt;&gt;"",$R7="Sắp đến hạn")</formula>
    </cfRule>
    <cfRule type="expression" priority="9" dxfId="47">
      <formula>$R7="Hoàn thành"</formula>
    </cfRule>
  </conditionalFormatting>
  <conditionalFormatting sqref="O7:O150">
    <cfRule type="dataBar" priority="5">
      <dataBar>
        <cfvo type="num" val="0"/>
        <cfvo type="num" val="1"/>
        <color rgb="FF22C55E"/>
      </dataBar>
    </cfRule>
  </conditionalFormatting>
  <conditionalFormatting sqref="Q7:Q150">
    <cfRule type="expression" priority="6" dxfId="38">
      <formula>$Q7="Có"</formula>
    </cfRule>
  </conditionalFormatting>
  <conditionalFormatting sqref="R7:R150">
    <cfRule type="expression" priority="10" dxfId="2">
      <formula>$R7="Hoàn thành"</formula>
    </cfRule>
    <cfRule type="expression" priority="11" dxfId="3">
      <formula>$R7="Đang thực hiện"</formula>
    </cfRule>
    <cfRule type="expression" priority="12" dxfId="42">
      <formula>$R7="Sắp đến hạn"</formula>
    </cfRule>
    <cfRule type="expression" priority="13" dxfId="38">
      <formula>OR($R7="Trễ hạn",$R7="Blocked")</formula>
    </cfRule>
    <cfRule type="expression" priority="14" dxfId="40">
      <formula>$R7="Chưa bắt đầu"</formula>
    </cfRule>
  </conditionalFormatting>
  <conditionalFormatting sqref="T7:T150">
    <cfRule type="expression" priority="3" dxfId="39">
      <formula>AND($A7&lt;&gt;"",$T7&lt;&gt;"")</formula>
    </cfRule>
    <cfRule type="expression" priority="4" dxfId="38">
      <formula>AND($A7&lt;&gt;"",$T7&lt;&gt;"",$R7="Trễ hạn")</formula>
    </cfRule>
  </conditionalFormatting>
  <dataValidations count="1">
    <dataValidation sqref="Q7:Q150" showDropDown="0" showInputMessage="0" showErrorMessage="1" allowBlank="0" errorTitle="Giá trị không hợp lệ" error="Chỉ được chọn Không hoặc Có" promptTitle="Blocked?" prompt="Chỉ chọn Có hoặc Không" type="list">
      <formula1>"Không,Có"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F8B8D"/>
    <outlinePr summaryBelow="1" summaryRight="1"/>
    <pageSetUpPr/>
  </sheetPr>
  <dimension ref="A1:R30"/>
  <sheetViews>
    <sheetView showGridLines="0" zoomScale="90" zoomScaleNormal="90" workbookViewId="0">
      <pane ySplit="8" topLeftCell="A9" activePane="bottomLeft" state="frozen"/>
      <selection pane="bottomLeft" activeCell="D11" sqref="D11"/>
    </sheetView>
  </sheetViews>
  <sheetFormatPr baseColWidth="8" defaultColWidth="8.69140625" defaultRowHeight="12.45"/>
  <cols>
    <col width="28" customWidth="1" min="1" max="1"/>
    <col width="10" customWidth="1" min="2" max="2"/>
    <col width="32" customWidth="1" min="3" max="3"/>
    <col width="11" customWidth="1" min="4" max="5"/>
    <col width="10" customWidth="1" min="6" max="6"/>
    <col width="8" customWidth="1" min="7" max="7"/>
    <col width="13" customWidth="1" min="8" max="8"/>
    <col width="10" customWidth="1" min="9" max="16"/>
    <col hidden="1" width="13" customWidth="1" min="17" max="18"/>
  </cols>
  <sheetData>
    <row r="1" ht="33.75" customHeight="1">
      <c r="A1" s="120" t="inlineStr">
        <is>
          <t>ROADMAP 8W | Milestone &amp; phase roadmap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4" t="n"/>
      <c r="P1" s="164" t="n"/>
      <c r="Q1" s="59" t="n"/>
      <c r="R1" s="59" t="n"/>
    </row>
    <row r="2" ht="21.75" customHeight="1">
      <c r="A2" s="121" t="n"/>
      <c r="Q2" s="59" t="n"/>
      <c r="R2" s="59" t="n"/>
    </row>
    <row r="3" ht="7.5" customHeight="1">
      <c r="A3" s="60" t="n"/>
      <c r="B3" s="60" t="n"/>
      <c r="C3" s="60" t="n"/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59" t="n"/>
      <c r="R3" s="59" t="n"/>
    </row>
    <row r="4" ht="24" customHeight="1">
      <c r="A4" s="122" t="inlineStr">
        <is>
          <t>Project Window</t>
        </is>
      </c>
      <c r="B4" s="165" t="n"/>
      <c r="C4" s="165" t="n"/>
      <c r="D4" s="166" t="n"/>
      <c r="E4" s="123" t="inlineStr">
        <is>
          <t>Legend</t>
        </is>
      </c>
      <c r="F4" s="165" t="n"/>
      <c r="G4" s="165" t="n"/>
      <c r="H4" s="166" t="n"/>
      <c r="I4" s="124" t="inlineStr">
        <is>
          <t>Current View</t>
        </is>
      </c>
      <c r="J4" s="165" t="n"/>
      <c r="K4" s="165" t="n"/>
      <c r="L4" s="165" t="n"/>
      <c r="M4" s="165" t="n"/>
      <c r="N4" s="165" t="n"/>
      <c r="O4" s="165" t="n"/>
      <c r="P4" s="166" t="n"/>
      <c r="Q4" s="59" t="n"/>
      <c r="R4" s="59" t="n"/>
    </row>
    <row r="5" ht="28.3" customHeight="1">
      <c r="A5" s="61" t="inlineStr">
        <is>
          <t>Start</t>
        </is>
      </c>
      <c r="B5" s="62">
        <f>CONFIG!$B$6</f>
        <v/>
      </c>
      <c r="C5" s="61" t="inlineStr">
        <is>
          <t>End</t>
        </is>
      </c>
      <c r="D5" s="62">
        <f>CONFIG!$B$7</f>
        <v/>
      </c>
      <c r="E5" s="63" t="n"/>
      <c r="F5" s="64" t="inlineStr">
        <is>
          <t>Planned / Running</t>
        </is>
      </c>
      <c r="G5" s="65" t="n"/>
      <c r="H5" s="64" t="inlineStr">
        <is>
          <t>Done</t>
        </is>
      </c>
      <c r="I5" s="125" t="n"/>
      <c r="J5" s="167" t="n"/>
      <c r="K5" s="167" t="n"/>
      <c r="L5" s="167" t="n"/>
      <c r="M5" s="167" t="n"/>
      <c r="N5" s="167" t="n"/>
      <c r="O5" s="167" t="n"/>
      <c r="P5" s="168" t="n"/>
      <c r="Q5" s="59" t="n"/>
      <c r="R5" s="59" t="n"/>
    </row>
    <row r="6" ht="25.5" customHeight="1">
      <c r="A6" s="61" t="inlineStr">
        <is>
          <t>Weeks</t>
        </is>
      </c>
      <c r="B6" s="61">
        <f>CONFIG!$B$8</f>
        <v/>
      </c>
      <c r="C6" s="61" t="inlineStr">
        <is>
          <t>Report Date</t>
        </is>
      </c>
      <c r="D6" s="62">
        <f>CONFIG!$B$5</f>
        <v/>
      </c>
      <c r="E6" s="66" t="n"/>
      <c r="F6" s="64" t="inlineStr">
        <is>
          <t>At risk</t>
        </is>
      </c>
      <c r="G6" s="67" t="n"/>
      <c r="H6" s="64" t="inlineStr">
        <is>
          <t>Current week</t>
        </is>
      </c>
      <c r="I6" s="169" t="n"/>
      <c r="J6" s="170" t="n"/>
      <c r="K6" s="170" t="n"/>
      <c r="L6" s="170" t="n"/>
      <c r="M6" s="170" t="n"/>
      <c r="N6" s="170" t="n"/>
      <c r="O6" s="170" t="n"/>
      <c r="P6" s="171" t="n"/>
      <c r="Q6" s="59" t="n"/>
      <c r="R6" s="59" t="n"/>
    </row>
    <row r="7" ht="7.5" customHeight="1">
      <c r="A7" s="60" t="n"/>
      <c r="B7" s="60" t="n"/>
      <c r="C7" s="60" t="n"/>
      <c r="D7" s="60" t="n"/>
      <c r="E7" s="60" t="n"/>
      <c r="F7" s="60" t="n"/>
      <c r="G7" s="60" t="n"/>
      <c r="H7" s="68" t="n"/>
      <c r="I7" s="68" t="n"/>
      <c r="J7" s="68" t="n"/>
      <c r="K7" s="68" t="n"/>
      <c r="L7" s="68" t="n"/>
      <c r="M7" s="68" t="n"/>
      <c r="N7" s="68" t="n"/>
      <c r="O7" s="68" t="n"/>
      <c r="P7" s="60" t="n"/>
      <c r="Q7" s="59" t="n"/>
      <c r="R7" s="59" t="n"/>
    </row>
    <row r="8" ht="24" customHeight="1">
      <c r="A8" s="123" t="inlineStr">
        <is>
          <t>Phase Summary</t>
        </is>
      </c>
      <c r="B8" s="165" t="n"/>
      <c r="C8" s="165" t="n"/>
      <c r="D8" s="165" t="n"/>
      <c r="E8" s="165" t="n"/>
      <c r="F8" s="165" t="n"/>
      <c r="G8" s="165" t="n"/>
      <c r="H8" s="166" t="n"/>
      <c r="I8" s="126" t="inlineStr">
        <is>
          <t>Weekly Roadmap</t>
        </is>
      </c>
      <c r="J8" s="165" t="n"/>
      <c r="K8" s="165" t="n"/>
      <c r="L8" s="165" t="n"/>
      <c r="M8" s="165" t="n"/>
      <c r="N8" s="165" t="n"/>
      <c r="O8" s="165" t="n"/>
      <c r="P8" s="166" t="n"/>
      <c r="Q8" s="59" t="n"/>
      <c r="R8" s="59" t="n"/>
    </row>
    <row r="9" ht="25.5" customHeight="1">
      <c r="A9" s="69" t="inlineStr">
        <is>
          <t>Giai đoạn</t>
        </is>
      </c>
      <c r="B9" s="69" t="inlineStr">
        <is>
          <t>Owner</t>
        </is>
      </c>
      <c r="C9" s="69" t="inlineStr">
        <is>
          <t>Kết quả chính</t>
        </is>
      </c>
      <c r="D9" s="69" t="inlineStr">
        <is>
          <t>Start</t>
        </is>
      </c>
      <c r="E9" s="69" t="inlineStr">
        <is>
          <t>End</t>
        </is>
      </c>
      <c r="F9" s="69" t="inlineStr">
        <is>
          <t>% Prog</t>
        </is>
      </c>
      <c r="G9" s="69" t="inlineStr">
        <is>
          <t>Risk</t>
        </is>
      </c>
      <c r="H9" s="69" t="inlineStr">
        <is>
          <t>Status</t>
        </is>
      </c>
      <c r="I9" s="70" t="inlineStr">
        <is>
          <t>W1</t>
        </is>
      </c>
      <c r="J9" s="70" t="inlineStr">
        <is>
          <t>W2</t>
        </is>
      </c>
      <c r="K9" s="70" t="inlineStr">
        <is>
          <t>W3</t>
        </is>
      </c>
      <c r="L9" s="70" t="inlineStr">
        <is>
          <t>W4</t>
        </is>
      </c>
      <c r="M9" s="70" t="inlineStr">
        <is>
          <t>W5</t>
        </is>
      </c>
      <c r="N9" s="70" t="inlineStr">
        <is>
          <t>W6</t>
        </is>
      </c>
      <c r="O9" s="70" t="inlineStr">
        <is>
          <t>W7</t>
        </is>
      </c>
      <c r="P9" s="70" t="inlineStr">
        <is>
          <t>W8</t>
        </is>
      </c>
      <c r="Q9" s="59" t="n"/>
      <c r="R9" s="59" t="n"/>
    </row>
    <row r="10" ht="27.75" customHeight="1">
      <c r="A10" s="64" t="n"/>
      <c r="B10" s="64" t="n"/>
      <c r="C10" s="71" t="n"/>
      <c r="D10" s="72" t="n"/>
      <c r="E10" s="72" t="n"/>
      <c r="F10" s="73" t="n"/>
      <c r="G10" s="71" t="n"/>
      <c r="H10" s="71" t="n"/>
      <c r="I10" s="74">
        <f>TEXT(INDEX(CONFIG!$B$13:$I$13,1,1),"dd-mmm")&amp;" → "&amp;TEXT(INDEX(CONFIG!$B$14:$I$14,1,1),"dd-mmm")</f>
        <v/>
      </c>
      <c r="J10" s="74">
        <f>TEXT(INDEX(CONFIG!$B$13:$I$13,1,2),"dd-mmm")&amp;" → "&amp;TEXT(INDEX(CONFIG!$B$14:$I$14,1,2),"dd-mmm")</f>
        <v/>
      </c>
      <c r="K10" s="74">
        <f>TEXT(INDEX(CONFIG!$B$13:$I$13,1,3),"dd-mmm")&amp;" → "&amp;TEXT(INDEX(CONFIG!$B$14:$I$14,1,3),"dd-mmm")</f>
        <v/>
      </c>
      <c r="L10" s="74">
        <f>TEXT(INDEX(CONFIG!$B$13:$I$13,1,4),"dd-mmm")&amp;" → "&amp;TEXT(INDEX(CONFIG!$B$14:$I$14,1,4),"dd-mmm")</f>
        <v/>
      </c>
      <c r="M10" s="74">
        <f>TEXT(INDEX(CONFIG!$B$13:$I$13,1,5),"dd-mmm")&amp;" → "&amp;TEXT(INDEX(CONFIG!$B$14:$I$14,1,5),"dd-mmm")</f>
        <v/>
      </c>
      <c r="N10" s="74">
        <f>TEXT(INDEX(CONFIG!$B$13:$I$13,1,6),"dd-mmm")&amp;" → "&amp;TEXT(INDEX(CONFIG!$B$14:$I$14,1,6),"dd-mmm")</f>
        <v/>
      </c>
      <c r="O10" s="74">
        <f>TEXT(INDEX(CONFIG!$B$13:$I$13,1,7),"dd-mmm")&amp;" → "&amp;TEXT(INDEX(CONFIG!$B$14:$I$14,1,7),"dd-mmm")</f>
        <v/>
      </c>
      <c r="P10" s="74">
        <f>TEXT(INDEX(CONFIG!$B$13:$I$13,1,8),"dd-mmm")&amp;" → "&amp;TEXT(INDEX(CONFIG!$B$14:$I$14,1,8),"dd-mmm")</f>
        <v/>
      </c>
      <c r="Q10" s="59" t="n"/>
      <c r="R10" s="59" t="n"/>
    </row>
    <row r="11" ht="25.5" customHeight="1">
      <c r="A11" s="75" t="inlineStr">
        <is>
          <t>1. Kickoff &amp; Proposal</t>
        </is>
      </c>
      <c r="B11" s="76">
        <f>IFERROR(VLOOKUP("TV1",TEAM!$A$6:$B$10,2,0),"TV1")</f>
        <v/>
      </c>
      <c r="C11" s="77" t="inlineStr">
        <is>
          <t>Project charter + proposal</t>
        </is>
      </c>
      <c r="D11" s="78">
        <f>IFERROR(_xlfn.MINIFS(TASK_BOARD!$J$7:$J$150,TASK_BOARD!$C$7:$C$150,$A11),"")</f>
        <v/>
      </c>
      <c r="E11" s="78">
        <f>IF(COUNTIF(TASK_BOARD!$C$7:$C$150,$A11)=0,"",_xlfn.MAXIFS(TASK_BOARD!$K$7:$K$150,TASK_BOARD!$C$7:$C$150,$A11))</f>
        <v/>
      </c>
      <c r="F11" s="79">
        <f>IFERROR(AVERAGEIFS(TASK_BOARD!$O$7:$O$150,TASK_BOARD!$C$7:$C$150,$A11),0)</f>
        <v/>
      </c>
      <c r="G11" s="77">
        <f>COUNTIFS(TASK_BOARD!$C$7:$C$150,$A11,TASK_BOARD!$R$7:$R$150,"Blocked")+COUNTIFS(TASK_BOARD!$C$7:$C$150,$A11,TASK_BOARD!$R$7:$R$150,"Trễ hạn")</f>
        <v/>
      </c>
      <c r="H11" s="77">
        <f>IF($F11&gt;=1,"Done",IF($G11&gt;0,"At risk",IF(COUNTIFS(TASK_BOARD!$C$7:$C$150,$A11,TASK_BOARD!$R$7:$R$150,"Đang thực hiện")&gt;0,"Running","Planned")))</f>
        <v/>
      </c>
      <c r="I11" s="80">
        <f>IF(AND(INDEX(CONFIG!$B$13:$I$13,1,1)&lt;=$E11,INDEX(CONFIG!$B$14:$I$14,1,1)&gt;=$D11),IF($F11&gt;=1,3,IF($G11&gt;0,2,1)),"")</f>
        <v/>
      </c>
      <c r="J11" s="80">
        <f>IF(AND(INDEX(CONFIG!$B$13:$I$13,1,2)&lt;=$E11,INDEX(CONFIG!$B$14:$I$14,1,2)&gt;=$D11),IF($F11&gt;=1,3,IF($G11&gt;0,2,1)),"")</f>
        <v/>
      </c>
      <c r="K11" s="80">
        <f>IF(AND(INDEX(CONFIG!$B$13:$I$13,1,3)&lt;=$E11,INDEX(CONFIG!$B$14:$I$14,1,3)&gt;=$D11),IF($F11&gt;=1,3,IF($G11&gt;0,2,1)),"")</f>
        <v/>
      </c>
      <c r="L11" s="80">
        <f>IF(AND(INDEX(CONFIG!$B$13:$I$13,1,4)&lt;=$E11,INDEX(CONFIG!$B$14:$I$14,1,4)&gt;=$D11),IF($F11&gt;=1,3,IF($G11&gt;0,2,1)),"")</f>
        <v/>
      </c>
      <c r="M11" s="80">
        <f>IF(AND(INDEX(CONFIG!$B$13:$I$13,1,5)&lt;=$E11,INDEX(CONFIG!$B$14:$I$14,1,5)&gt;=$D11),IF($F11&gt;=1,3,IF($G11&gt;0,2,1)),"")</f>
        <v/>
      </c>
      <c r="N11" s="80">
        <f>IF(AND(INDEX(CONFIG!$B$13:$I$13,1,6)&lt;=$E11,INDEX(CONFIG!$B$14:$I$14,1,6)&gt;=$D11),IF($F11&gt;=1,3,IF($G11&gt;0,2,1)),"")</f>
        <v/>
      </c>
      <c r="O11" s="80">
        <f>IF(AND(INDEX(CONFIG!$B$13:$I$13,1,7)&lt;=$E11,INDEX(CONFIG!$B$14:$I$14,1,7)&gt;=$D11),IF($F11&gt;=1,3,IF($G11&gt;0,2,1)),"")</f>
        <v/>
      </c>
      <c r="P11" s="80">
        <f>IF(AND(INDEX(CONFIG!$B$13:$I$13,1,8)&lt;=$E11,INDEX(CONFIG!$B$14:$I$14,1,8)&gt;=$D11),IF($F11&gt;=1,3,IF($G11&gt;0,2,1)),"")</f>
        <v/>
      </c>
      <c r="Q11" s="59" t="n"/>
      <c r="R11" s="59" t="n"/>
    </row>
    <row r="12" ht="25.5" customHeight="1">
      <c r="A12" s="81" t="inlineStr">
        <is>
          <t>2. Literature &amp; Research</t>
        </is>
      </c>
      <c r="B12" s="64">
        <f>IFERROR(VLOOKUP("TV1",TEAM!$A$6:$B$10,2,0),"TV1")</f>
        <v/>
      </c>
      <c r="C12" s="71" t="inlineStr">
        <is>
          <t>Literature matrix + benchmark logic</t>
        </is>
      </c>
      <c r="D12" s="78">
        <f>IFERROR(_xlfn.MINIFS(TASK_BOARD!$J$7:$J$150,TASK_BOARD!$C$7:$C$150,$A12),"")</f>
        <v/>
      </c>
      <c r="E12" s="78">
        <f>IF(COUNTIF(TASK_BOARD!$C$7:$C$150,$A12)=0,"",_xlfn.MAXIFS(TASK_BOARD!$K$7:$K$150,TASK_BOARD!$C$7:$C$150,$A12))</f>
        <v/>
      </c>
      <c r="F12" s="73">
        <f>IFERROR(AVERAGEIFS(TASK_BOARD!$O$7:$O$150,TASK_BOARD!$C$7:$C$150,$A12),0)</f>
        <v/>
      </c>
      <c r="G12" s="71">
        <f>COUNTIFS(TASK_BOARD!$C$7:$C$150,$A12,TASK_BOARD!$R$7:$R$150,"Blocked")+COUNTIFS(TASK_BOARD!$C$7:$C$150,$A12,TASK_BOARD!$R$7:$R$150,"Trễ hạn")</f>
        <v/>
      </c>
      <c r="H12" s="71">
        <f>IF($F12&gt;=1,"Done",IF($G12&gt;0,"At risk",IF(COUNTIFS(TASK_BOARD!$C$7:$C$150,$A12,TASK_BOARD!$R$7:$R$150,"Đang thực hiện")&gt;0,"Running","Planned")))</f>
        <v/>
      </c>
      <c r="I12" s="80">
        <f>IF(AND(INDEX(CONFIG!$B$13:$I$13,1,1)&lt;=$E12,INDEX(CONFIG!$B$14:$I$14,1,1)&gt;=$D12),IF($F12&gt;=1,3,IF($G12&gt;0,2,1)),"")</f>
        <v/>
      </c>
      <c r="J12" s="80">
        <f>IF(AND(INDEX(CONFIG!$B$13:$I$13,1,2)&lt;=$E12,INDEX(CONFIG!$B$14:$I$14,1,2)&gt;=$D12),IF($F12&gt;=1,3,IF($G12&gt;0,2,1)),"")</f>
        <v/>
      </c>
      <c r="K12" s="80">
        <f>IF(AND(INDEX(CONFIG!$B$13:$I$13,1,3)&lt;=$E12,INDEX(CONFIG!$B$14:$I$14,1,3)&gt;=$D12),IF($F12&gt;=1,3,IF($G12&gt;0,2,1)),"")</f>
        <v/>
      </c>
      <c r="L12" s="80">
        <f>IF(AND(INDEX(CONFIG!$B$13:$I$13,1,4)&lt;=$E12,INDEX(CONFIG!$B$14:$I$14,1,4)&gt;=$D12),IF($F12&gt;=1,3,IF($G12&gt;0,2,1)),"")</f>
        <v/>
      </c>
      <c r="M12" s="80">
        <f>IF(AND(INDEX(CONFIG!$B$13:$I$13,1,5)&lt;=$E12,INDEX(CONFIG!$B$14:$I$14,1,5)&gt;=$D12),IF($F12&gt;=1,3,IF($G12&gt;0,2,1)),"")</f>
        <v/>
      </c>
      <c r="N12" s="80">
        <f>IF(AND(INDEX(CONFIG!$B$13:$I$13,1,6)&lt;=$E12,INDEX(CONFIG!$B$14:$I$14,1,6)&gt;=$D12),IF($F12&gt;=1,3,IF($G12&gt;0,2,1)),"")</f>
        <v/>
      </c>
      <c r="O12" s="80">
        <f>IF(AND(INDEX(CONFIG!$B$13:$I$13,1,7)&lt;=$E12,INDEX(CONFIG!$B$14:$I$14,1,7)&gt;=$D12),IF($F12&gt;=1,3,IF($G12&gt;0,2,1)),"")</f>
        <v/>
      </c>
      <c r="P12" s="80">
        <f>IF(AND(INDEX(CONFIG!$B$13:$I$13,1,8)&lt;=$E12,INDEX(CONFIG!$B$14:$I$14,1,8)&gt;=$D12),IF($F12&gt;=1,3,IF($G12&gt;0,2,1)),"")</f>
        <v/>
      </c>
      <c r="Q12" s="59" t="n"/>
      <c r="R12" s="59" t="n"/>
    </row>
    <row r="13" ht="25.5" customHeight="1">
      <c r="A13" s="75" t="inlineStr">
        <is>
          <t>3. Data Understanding</t>
        </is>
      </c>
      <c r="B13" s="76">
        <f>IFERROR(VLOOKUP("TV2",TEAM!$A$6:$B$10,2,0),"TV2")</f>
        <v/>
      </c>
      <c r="C13" s="77" t="inlineStr">
        <is>
          <t>Audit 2 dataset + schema chung</t>
        </is>
      </c>
      <c r="D13" s="78">
        <f>IFERROR(_xlfn.MINIFS(TASK_BOARD!$J$7:$J$150,TASK_BOARD!$C$7:$C$150,$A13),"")</f>
        <v/>
      </c>
      <c r="E13" s="78">
        <f>IF(COUNTIF(TASK_BOARD!$C$7:$C$150,$A13)=0,"",_xlfn.MAXIFS(TASK_BOARD!$K$7:$K$150,TASK_BOARD!$C$7:$C$150,$A13))</f>
        <v/>
      </c>
      <c r="F13" s="79">
        <f>IFERROR(AVERAGEIFS(TASK_BOARD!$O$7:$O$150,TASK_BOARD!$C$7:$C$150,$A13),0)</f>
        <v/>
      </c>
      <c r="G13" s="77">
        <f>COUNTIFS(TASK_BOARD!$C$7:$C$150,$A13,TASK_BOARD!$R$7:$R$150,"Blocked")+COUNTIFS(TASK_BOARD!$C$7:$C$150,$A13,TASK_BOARD!$R$7:$R$150,"Trễ hạn")</f>
        <v/>
      </c>
      <c r="H13" s="77">
        <f>IF($F13&gt;=1,"Done",IF($G13&gt;0,"At risk",IF(COUNTIFS(TASK_BOARD!$C$7:$C$150,$A13,TASK_BOARD!$R$7:$R$150,"Đang thực hiện")&gt;0,"Running","Planned")))</f>
        <v/>
      </c>
      <c r="I13" s="80">
        <f>IF(AND(INDEX(CONFIG!$B$13:$I$13,1,1)&lt;=$E13,INDEX(CONFIG!$B$14:$I$14,1,1)&gt;=$D13),IF($F13&gt;=1,3,IF($G13&gt;0,2,1)),"")</f>
        <v/>
      </c>
      <c r="J13" s="80">
        <f>IF(AND(INDEX(CONFIG!$B$13:$I$13,1,2)&lt;=$E13,INDEX(CONFIG!$B$14:$I$14,1,2)&gt;=$D13),IF($F13&gt;=1,3,IF($G13&gt;0,2,1)),"")</f>
        <v/>
      </c>
      <c r="K13" s="80">
        <f>IF(AND(INDEX(CONFIG!$B$13:$I$13,1,3)&lt;=$E13,INDEX(CONFIG!$B$14:$I$14,1,3)&gt;=$D13),IF($F13&gt;=1,3,IF($G13&gt;0,2,1)),"")</f>
        <v/>
      </c>
      <c r="L13" s="80">
        <f>IF(AND(INDEX(CONFIG!$B$13:$I$13,1,4)&lt;=$E13,INDEX(CONFIG!$B$14:$I$14,1,4)&gt;=$D13),IF($F13&gt;=1,3,IF($G13&gt;0,2,1)),"")</f>
        <v/>
      </c>
      <c r="M13" s="80">
        <f>IF(AND(INDEX(CONFIG!$B$13:$I$13,1,5)&lt;=$E13,INDEX(CONFIG!$B$14:$I$14,1,5)&gt;=$D13),IF($F13&gt;=1,3,IF($G13&gt;0,2,1)),"")</f>
        <v/>
      </c>
      <c r="N13" s="80">
        <f>IF(AND(INDEX(CONFIG!$B$13:$I$13,1,6)&lt;=$E13,INDEX(CONFIG!$B$14:$I$14,1,6)&gt;=$D13),IF($F13&gt;=1,3,IF($G13&gt;0,2,1)),"")</f>
        <v/>
      </c>
      <c r="O13" s="80">
        <f>IF(AND(INDEX(CONFIG!$B$13:$I$13,1,7)&lt;=$E13,INDEX(CONFIG!$B$14:$I$14,1,7)&gt;=$D13),IF($F13&gt;=1,3,IF($G13&gt;0,2,1)),"")</f>
        <v/>
      </c>
      <c r="P13" s="80">
        <f>IF(AND(INDEX(CONFIG!$B$13:$I$13,1,8)&lt;=$E13,INDEX(CONFIG!$B$14:$I$14,1,8)&gt;=$D13),IF($F13&gt;=1,3,IF($G13&gt;0,2,1)),"")</f>
        <v/>
      </c>
      <c r="Q13" s="59" t="n"/>
      <c r="R13" s="59" t="n"/>
    </row>
    <row r="14" ht="25.5" customHeight="1">
      <c r="A14" s="81" t="inlineStr">
        <is>
          <t>4. Preprocessing &amp; Metrics</t>
        </is>
      </c>
      <c r="B14" s="64">
        <f>IFERROR(VLOOKUP("TV2",TEAM!$A$6:$B$10,2,0),"TV2")</f>
        <v/>
      </c>
      <c r="C14" s="71" t="inlineStr">
        <is>
          <t>Pipeline xử lý + metric spec</t>
        </is>
      </c>
      <c r="D14" s="78">
        <f>IFERROR(_xlfn.MINIFS(TASK_BOARD!$J$7:$J$150,TASK_BOARD!$C$7:$C$150,$A14),"")</f>
        <v/>
      </c>
      <c r="E14" s="78">
        <f>IF(COUNTIF(TASK_BOARD!$C$7:$C$150,$A14)=0,"",_xlfn.MAXIFS(TASK_BOARD!$K$7:$K$150,TASK_BOARD!$C$7:$C$150,$A14))</f>
        <v/>
      </c>
      <c r="F14" s="73">
        <f>IFERROR(AVERAGEIFS(TASK_BOARD!$O$7:$O$150,TASK_BOARD!$C$7:$C$150,$A14),0)</f>
        <v/>
      </c>
      <c r="G14" s="71">
        <f>COUNTIFS(TASK_BOARD!$C$7:$C$150,$A14,TASK_BOARD!$R$7:$R$150,"Blocked")+COUNTIFS(TASK_BOARD!$C$7:$C$150,$A14,TASK_BOARD!$R$7:$R$150,"Trễ hạn")</f>
        <v/>
      </c>
      <c r="H14" s="71">
        <f>IF($F14&gt;=1,"Done",IF($G14&gt;0,"At risk",IF(COUNTIFS(TASK_BOARD!$C$7:$C$150,$A14,TASK_BOARD!$R$7:$R$150,"Đang thực hiện")&gt;0,"Running","Planned")))</f>
        <v/>
      </c>
      <c r="I14" s="80">
        <f>IF(AND(INDEX(CONFIG!$B$13:$I$13,1,1)&lt;=$E14,INDEX(CONFIG!$B$14:$I$14,1,1)&gt;=$D14),IF($F14&gt;=1,3,IF($G14&gt;0,2,1)),"")</f>
        <v/>
      </c>
      <c r="J14" s="80">
        <f>IF(AND(INDEX(CONFIG!$B$13:$I$13,1,2)&lt;=$E14,INDEX(CONFIG!$B$14:$I$14,1,2)&gt;=$D14),IF($F14&gt;=1,3,IF($G14&gt;0,2,1)),"")</f>
        <v/>
      </c>
      <c r="K14" s="80">
        <f>IF(AND(INDEX(CONFIG!$B$13:$I$13,1,3)&lt;=$E14,INDEX(CONFIG!$B$14:$I$14,1,3)&gt;=$D14),IF($F14&gt;=1,3,IF($G14&gt;0,2,1)),"")</f>
        <v/>
      </c>
      <c r="L14" s="80">
        <f>IF(AND(INDEX(CONFIG!$B$13:$I$13,1,4)&lt;=$E14,INDEX(CONFIG!$B$14:$I$14,1,4)&gt;=$D14),IF($F14&gt;=1,3,IF($G14&gt;0,2,1)),"")</f>
        <v/>
      </c>
      <c r="M14" s="80">
        <f>IF(AND(INDEX(CONFIG!$B$13:$I$13,1,5)&lt;=$E14,INDEX(CONFIG!$B$14:$I$14,1,5)&gt;=$D14),IF($F14&gt;=1,3,IF($G14&gt;0,2,1)),"")</f>
        <v/>
      </c>
      <c r="N14" s="80">
        <f>IF(AND(INDEX(CONFIG!$B$13:$I$13,1,6)&lt;=$E14,INDEX(CONFIG!$B$14:$I$14,1,6)&gt;=$D14),IF($F14&gt;=1,3,IF($G14&gt;0,2,1)),"")</f>
        <v/>
      </c>
      <c r="O14" s="80">
        <f>IF(AND(INDEX(CONFIG!$B$13:$I$13,1,7)&lt;=$E14,INDEX(CONFIG!$B$14:$I$14,1,7)&gt;=$D14),IF($F14&gt;=1,3,IF($G14&gt;0,2,1)),"")</f>
        <v/>
      </c>
      <c r="P14" s="80">
        <f>IF(AND(INDEX(CONFIG!$B$13:$I$13,1,8)&lt;=$E14,INDEX(CONFIG!$B$14:$I$14,1,8)&gt;=$D14),IF($F14&gt;=1,3,IF($G14&gt;0,2,1)),"")</f>
        <v/>
      </c>
      <c r="Q14" s="59" t="n"/>
      <c r="R14" s="59" t="n"/>
    </row>
    <row r="15" ht="25.5" customHeight="1">
      <c r="A15" s="75" t="inlineStr">
        <is>
          <t>5. Features &amp; Baselines</t>
        </is>
      </c>
      <c r="B15" s="76">
        <f>IFERROR(VLOOKUP("TV3",TEAM!$A$6:$B$10,2,0),"TV3")</f>
        <v/>
      </c>
      <c r="C15" s="77" t="inlineStr">
        <is>
          <t>Feature rules + baseline benchmark</t>
        </is>
      </c>
      <c r="D15" s="78">
        <f>IFERROR(_xlfn.MINIFS(TASK_BOARD!$J$7:$J$150,TASK_BOARD!$C$7:$C$150,$A15),"")</f>
        <v/>
      </c>
      <c r="E15" s="78">
        <f>IF(COUNTIF(TASK_BOARD!$C$7:$C$150,$A15)=0,"",_xlfn.MAXIFS(TASK_BOARD!$K$7:$K$150,TASK_BOARD!$C$7:$C$150,$A15))</f>
        <v/>
      </c>
      <c r="F15" s="79">
        <f>IFERROR(AVERAGEIFS(TASK_BOARD!$O$7:$O$150,TASK_BOARD!$C$7:$C$150,$A15),0)</f>
        <v/>
      </c>
      <c r="G15" s="77">
        <f>COUNTIFS(TASK_BOARD!$C$7:$C$150,$A15,TASK_BOARD!$R$7:$R$150,"Blocked")+COUNTIFS(TASK_BOARD!$C$7:$C$150,$A15,TASK_BOARD!$R$7:$R$150,"Trễ hạn")</f>
        <v/>
      </c>
      <c r="H15" s="77">
        <f>IF($F15&gt;=1,"Done",IF($G15&gt;0,"At risk",IF(COUNTIFS(TASK_BOARD!$C$7:$C$150,$A15,TASK_BOARD!$R$7:$R$150,"Đang thực hiện")&gt;0,"Running","Planned")))</f>
        <v/>
      </c>
      <c r="I15" s="80">
        <f>IF(AND(INDEX(CONFIG!$B$13:$I$13,1,1)&lt;=$E15,INDEX(CONFIG!$B$14:$I$14,1,1)&gt;=$D15),IF($F15&gt;=1,3,IF($G15&gt;0,2,1)),"")</f>
        <v/>
      </c>
      <c r="J15" s="80">
        <f>IF(AND(INDEX(CONFIG!$B$13:$I$13,1,2)&lt;=$E15,INDEX(CONFIG!$B$14:$I$14,1,2)&gt;=$D15),IF($F15&gt;=1,3,IF($G15&gt;0,2,1)),"")</f>
        <v/>
      </c>
      <c r="K15" s="80">
        <f>IF(AND(INDEX(CONFIG!$B$13:$I$13,1,3)&lt;=$E15,INDEX(CONFIG!$B$14:$I$14,1,3)&gt;=$D15),IF($F15&gt;=1,3,IF($G15&gt;0,2,1)),"")</f>
        <v/>
      </c>
      <c r="L15" s="80">
        <f>IF(AND(INDEX(CONFIG!$B$13:$I$13,1,4)&lt;=$E15,INDEX(CONFIG!$B$14:$I$14,1,4)&gt;=$D15),IF($F15&gt;=1,3,IF($G15&gt;0,2,1)),"")</f>
        <v/>
      </c>
      <c r="M15" s="80">
        <f>IF(AND(INDEX(CONFIG!$B$13:$I$13,1,5)&lt;=$E15,INDEX(CONFIG!$B$14:$I$14,1,5)&gt;=$D15),IF($F15&gt;=1,3,IF($G15&gt;0,2,1)),"")</f>
        <v/>
      </c>
      <c r="N15" s="80">
        <f>IF(AND(INDEX(CONFIG!$B$13:$I$13,1,6)&lt;=$E15,INDEX(CONFIG!$B$14:$I$14,1,6)&gt;=$D15),IF($F15&gt;=1,3,IF($G15&gt;0,2,1)),"")</f>
        <v/>
      </c>
      <c r="O15" s="80">
        <f>IF(AND(INDEX(CONFIG!$B$13:$I$13,1,7)&lt;=$E15,INDEX(CONFIG!$B$14:$I$14,1,7)&gt;=$D15),IF($F15&gt;=1,3,IF($G15&gt;0,2,1)),"")</f>
        <v/>
      </c>
      <c r="P15" s="80">
        <f>IF(AND(INDEX(CONFIG!$B$13:$I$13,1,8)&lt;=$E15,INDEX(CONFIG!$B$14:$I$14,1,8)&gt;=$D15),IF($F15&gt;=1,3,IF($G15&gt;0,2,1)),"")</f>
        <v/>
      </c>
      <c r="Q15" s="59" t="n"/>
      <c r="R15" s="59" t="n"/>
    </row>
    <row r="16" ht="25.5" customHeight="1">
      <c r="A16" s="81" t="inlineStr">
        <is>
          <t>6. Advanced Modeling</t>
        </is>
      </c>
      <c r="B16" s="64">
        <f>IFERROR(VLOOKUP("TV3",TEAM!$A$6:$B$10,2,0),"TV3")</f>
        <v/>
      </c>
      <c r="C16" s="71" t="inlineStr">
        <is>
          <t>Boosting + ensemble + XAI</t>
        </is>
      </c>
      <c r="D16" s="78">
        <f>IFERROR(_xlfn.MINIFS(TASK_BOARD!$J$7:$J$150,TASK_BOARD!$C$7:$C$150,$A16),"")</f>
        <v/>
      </c>
      <c r="E16" s="78">
        <f>IF(COUNTIF(TASK_BOARD!$C$7:$C$150,$A16)=0,"",_xlfn.MAXIFS(TASK_BOARD!$K$7:$K$150,TASK_BOARD!$C$7:$C$150,$A16))</f>
        <v/>
      </c>
      <c r="F16" s="73">
        <f>IFERROR(AVERAGEIFS(TASK_BOARD!$O$7:$O$150,TASK_BOARD!$C$7:$C$150,$A16),0)</f>
        <v/>
      </c>
      <c r="G16" s="71">
        <f>COUNTIFS(TASK_BOARD!$C$7:$C$150,$A16,TASK_BOARD!$R$7:$R$150,"Blocked")+COUNTIFS(TASK_BOARD!$C$7:$C$150,$A16,TASK_BOARD!$R$7:$R$150,"Trễ hạn")</f>
        <v/>
      </c>
      <c r="H16" s="71">
        <f>IF($F16&gt;=1,"Done",IF($G16&gt;0,"At risk",IF(COUNTIFS(TASK_BOARD!$C$7:$C$150,$A16,TASK_BOARD!$R$7:$R$150,"Đang thực hiện")&gt;0,"Running","Planned")))</f>
        <v/>
      </c>
      <c r="I16" s="80">
        <f>IF(AND(INDEX(CONFIG!$B$13:$I$13,1,1)&lt;=$E16,INDEX(CONFIG!$B$14:$I$14,1,1)&gt;=$D16),IF($F16&gt;=1,3,IF($G16&gt;0,2,1)),"")</f>
        <v/>
      </c>
      <c r="J16" s="80">
        <f>IF(AND(INDEX(CONFIG!$B$13:$I$13,1,2)&lt;=$E16,INDEX(CONFIG!$B$14:$I$14,1,2)&gt;=$D16),IF($F16&gt;=1,3,IF($G16&gt;0,2,1)),"")</f>
        <v/>
      </c>
      <c r="K16" s="80">
        <f>IF(AND(INDEX(CONFIG!$B$13:$I$13,1,3)&lt;=$E16,INDEX(CONFIG!$B$14:$I$14,1,3)&gt;=$D16),IF($F16&gt;=1,3,IF($G16&gt;0,2,1)),"")</f>
        <v/>
      </c>
      <c r="L16" s="80">
        <f>IF(AND(INDEX(CONFIG!$B$13:$I$13,1,4)&lt;=$E16,INDEX(CONFIG!$B$14:$I$14,1,4)&gt;=$D16),IF($F16&gt;=1,3,IF($G16&gt;0,2,1)),"")</f>
        <v/>
      </c>
      <c r="M16" s="80">
        <f>IF(AND(INDEX(CONFIG!$B$13:$I$13,1,5)&lt;=$E16,INDEX(CONFIG!$B$14:$I$14,1,5)&gt;=$D16),IF($F16&gt;=1,3,IF($G16&gt;0,2,1)),"")</f>
        <v/>
      </c>
      <c r="N16" s="80">
        <f>IF(AND(INDEX(CONFIG!$B$13:$I$13,1,6)&lt;=$E16,INDEX(CONFIG!$B$14:$I$14,1,6)&gt;=$D16),IF($F16&gt;=1,3,IF($G16&gt;0,2,1)),"")</f>
        <v/>
      </c>
      <c r="O16" s="80">
        <f>IF(AND(INDEX(CONFIG!$B$13:$I$13,1,7)&lt;=$E16,INDEX(CONFIG!$B$14:$I$14,1,7)&gt;=$D16),IF($F16&gt;=1,3,IF($G16&gt;0,2,1)),"")</f>
        <v/>
      </c>
      <c r="P16" s="80">
        <f>IF(AND(INDEX(CONFIG!$B$13:$I$13,1,8)&lt;=$E16,INDEX(CONFIG!$B$14:$I$14,1,8)&gt;=$D16),IF($F16&gt;=1,3,IF($G16&gt;0,2,1)),"")</f>
        <v/>
      </c>
      <c r="Q16" s="59" t="n"/>
      <c r="R16" s="59" t="n"/>
    </row>
    <row r="17" ht="25.5" customHeight="1">
      <c r="A17" s="75" t="inlineStr">
        <is>
          <t>7. Integration &amp; Dashboard</t>
        </is>
      </c>
      <c r="B17" s="76">
        <f>IFERROR(VLOOKUP("TV5",TEAM!$A$6:$B$10,2,0),"TV5")</f>
        <v/>
      </c>
      <c r="C17" s="77" t="inlineStr">
        <is>
          <t>Scoring flow + dashboard</t>
        </is>
      </c>
      <c r="D17" s="78">
        <f>IFERROR(_xlfn.MINIFS(TASK_BOARD!$J$7:$J$150,TASK_BOARD!$C$7:$C$150,$A17),"")</f>
        <v/>
      </c>
      <c r="E17" s="78">
        <f>IF(COUNTIF(TASK_BOARD!$C$7:$C$150,$A17)=0,"",_xlfn.MAXIFS(TASK_BOARD!$K$7:$K$150,TASK_BOARD!$C$7:$C$150,$A17))</f>
        <v/>
      </c>
      <c r="F17" s="79">
        <f>IFERROR(AVERAGEIFS(TASK_BOARD!$O$7:$O$150,TASK_BOARD!$C$7:$C$150,$A17),0)</f>
        <v/>
      </c>
      <c r="G17" s="77">
        <f>COUNTIFS(TASK_BOARD!$C$7:$C$150,$A17,TASK_BOARD!$R$7:$R$150,"Blocked")+COUNTIFS(TASK_BOARD!$C$7:$C$150,$A17,TASK_BOARD!$R$7:$R$150,"Trễ hạn")</f>
        <v/>
      </c>
      <c r="H17" s="77">
        <f>IF($F17&gt;=1,"Done",IF($G17&gt;0,"At risk",IF(COUNTIFS(TASK_BOARD!$C$7:$C$150,$A17,TASK_BOARD!$R$7:$R$150,"Đang thực hiện")&gt;0,"Running","Planned")))</f>
        <v/>
      </c>
      <c r="I17" s="80">
        <f>IF(AND(INDEX(CONFIG!$B$13:$I$13,1,1)&lt;=$E17,INDEX(CONFIG!$B$14:$I$14,1,1)&gt;=$D17),IF($F17&gt;=1,3,IF($G17&gt;0,2,1)),"")</f>
        <v/>
      </c>
      <c r="J17" s="80">
        <f>IF(AND(INDEX(CONFIG!$B$13:$I$13,1,2)&lt;=$E17,INDEX(CONFIG!$B$14:$I$14,1,2)&gt;=$D17),IF($F17&gt;=1,3,IF($G17&gt;0,2,1)),"")</f>
        <v/>
      </c>
      <c r="K17" s="80">
        <f>IF(AND(INDEX(CONFIG!$B$13:$I$13,1,3)&lt;=$E17,INDEX(CONFIG!$B$14:$I$14,1,3)&gt;=$D17),IF($F17&gt;=1,3,IF($G17&gt;0,2,1)),"")</f>
        <v/>
      </c>
      <c r="L17" s="80">
        <f>IF(AND(INDEX(CONFIG!$B$13:$I$13,1,4)&lt;=$E17,INDEX(CONFIG!$B$14:$I$14,1,4)&gt;=$D17),IF($F17&gt;=1,3,IF($G17&gt;0,2,1)),"")</f>
        <v/>
      </c>
      <c r="M17" s="80">
        <f>IF(AND(INDEX(CONFIG!$B$13:$I$13,1,5)&lt;=$E17,INDEX(CONFIG!$B$14:$I$14,1,5)&gt;=$D17),IF($F17&gt;=1,3,IF($G17&gt;0,2,1)),"")</f>
        <v/>
      </c>
      <c r="N17" s="80">
        <f>IF(AND(INDEX(CONFIG!$B$13:$I$13,1,6)&lt;=$E17,INDEX(CONFIG!$B$14:$I$14,1,6)&gt;=$D17),IF($F17&gt;=1,3,IF($G17&gt;0,2,1)),"")</f>
        <v/>
      </c>
      <c r="O17" s="80">
        <f>IF(AND(INDEX(CONFIG!$B$13:$I$13,1,7)&lt;=$E17,INDEX(CONFIG!$B$14:$I$14,1,7)&gt;=$D17),IF($F17&gt;=1,3,IF($G17&gt;0,2,1)),"")</f>
        <v/>
      </c>
      <c r="P17" s="80">
        <f>IF(AND(INDEX(CONFIG!$B$13:$I$13,1,8)&lt;=$E17,INDEX(CONFIG!$B$14:$I$14,1,8)&gt;=$D17),IF($F17&gt;=1,3,IF($G17&gt;0,2,1)),"")</f>
        <v/>
      </c>
      <c r="Q17" s="59" t="n"/>
      <c r="R17" s="59" t="n"/>
    </row>
    <row r="18" ht="25.5" customHeight="1">
      <c r="A18" s="81" t="inlineStr">
        <is>
          <t>8. Report &amp; Demo</t>
        </is>
      </c>
      <c r="B18" s="64">
        <f>IFERROR(VLOOKUP("TV1",TEAM!$A$6:$B$10,2,0),"TV1")</f>
        <v/>
      </c>
      <c r="C18" s="71" t="inlineStr">
        <is>
          <t>Final report + defense runbook</t>
        </is>
      </c>
      <c r="D18" s="78">
        <f>IFERROR(_xlfn.MINIFS(TASK_BOARD!$J$7:$J$150,TASK_BOARD!$C$7:$C$150,$A18),"")</f>
        <v/>
      </c>
      <c r="E18" s="78">
        <f>IF(COUNTIF(TASK_BOARD!$C$7:$C$150,$A18)=0,"",_xlfn.MAXIFS(TASK_BOARD!$K$7:$K$150,TASK_BOARD!$C$7:$C$150,$A18))</f>
        <v/>
      </c>
      <c r="F18" s="73">
        <f>IFERROR(AVERAGEIFS(TASK_BOARD!$O$7:$O$150,TASK_BOARD!$C$7:$C$150,$A18),0)</f>
        <v/>
      </c>
      <c r="G18" s="71">
        <f>COUNTIFS(TASK_BOARD!$C$7:$C$150,$A18,TASK_BOARD!$R$7:$R$150,"Blocked")+COUNTIFS(TASK_BOARD!$C$7:$C$150,$A18,TASK_BOARD!$R$7:$R$150,"Trễ hạn")</f>
        <v/>
      </c>
      <c r="H18" s="71">
        <f>IF($F18&gt;=1,"Done",IF($G18&gt;0,"At risk",IF(COUNTIFS(TASK_BOARD!$C$7:$C$150,$A18,TASK_BOARD!$R$7:$R$150,"Đang thực hiện")&gt;0,"Running","Planned")))</f>
        <v/>
      </c>
      <c r="I18" s="80">
        <f>IF(AND(INDEX(CONFIG!$B$13:$I$13,1,1)&lt;=$E18,INDEX(CONFIG!$B$14:$I$14,1,1)&gt;=$D18),IF($F18&gt;=1,3,IF($G18&gt;0,2,1)),"")</f>
        <v/>
      </c>
      <c r="J18" s="80">
        <f>IF(AND(INDEX(CONFIG!$B$13:$I$13,1,2)&lt;=$E18,INDEX(CONFIG!$B$14:$I$14,1,2)&gt;=$D18),IF($F18&gt;=1,3,IF($G18&gt;0,2,1)),"")</f>
        <v/>
      </c>
      <c r="K18" s="80">
        <f>IF(AND(INDEX(CONFIG!$B$13:$I$13,1,3)&lt;=$E18,INDEX(CONFIG!$B$14:$I$14,1,3)&gt;=$D18),IF($F18&gt;=1,3,IF($G18&gt;0,2,1)),"")</f>
        <v/>
      </c>
      <c r="L18" s="80">
        <f>IF(AND(INDEX(CONFIG!$B$13:$I$13,1,4)&lt;=$E18,INDEX(CONFIG!$B$14:$I$14,1,4)&gt;=$D18),IF($F18&gt;=1,3,IF($G18&gt;0,2,1)),"")</f>
        <v/>
      </c>
      <c r="M18" s="80">
        <f>IF(AND(INDEX(CONFIG!$B$13:$I$13,1,5)&lt;=$E18,INDEX(CONFIG!$B$14:$I$14,1,5)&gt;=$D18),IF($F18&gt;=1,3,IF($G18&gt;0,2,1)),"")</f>
        <v/>
      </c>
      <c r="N18" s="80">
        <f>IF(AND(INDEX(CONFIG!$B$13:$I$13,1,6)&lt;=$E18,INDEX(CONFIG!$B$14:$I$14,1,6)&gt;=$D18),IF($F18&gt;=1,3,IF($G18&gt;0,2,1)),"")</f>
        <v/>
      </c>
      <c r="O18" s="80">
        <f>IF(AND(INDEX(CONFIG!$B$13:$I$13,1,7)&lt;=$E18,INDEX(CONFIG!$B$14:$I$14,1,7)&gt;=$D18),IF($F18&gt;=1,3,IF($G18&gt;0,2,1)),"")</f>
        <v/>
      </c>
      <c r="P18" s="80">
        <f>IF(AND(INDEX(CONFIG!$B$13:$I$13,1,8)&lt;=$E18,INDEX(CONFIG!$B$14:$I$14,1,8)&gt;=$D18),IF($F18&gt;=1,3,IF($G18&gt;0,2,1)),"")</f>
        <v/>
      </c>
      <c r="Q18" s="59" t="n"/>
      <c r="R18" s="59" t="n"/>
    </row>
    <row r="19" ht="9.75" customHeight="1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59" t="n"/>
      <c r="R19" s="59" t="n"/>
    </row>
    <row r="20" ht="24" customHeight="1">
      <c r="A20" s="127" t="inlineStr">
        <is>
          <t>Reading Guide</t>
        </is>
      </c>
      <c r="B20" s="165" t="n"/>
      <c r="C20" s="165" t="n"/>
      <c r="D20" s="165" t="n"/>
      <c r="E20" s="165" t="n"/>
      <c r="F20" s="165" t="n"/>
      <c r="G20" s="165" t="n"/>
      <c r="H20" s="165" t="n"/>
      <c r="I20" s="165" t="n"/>
      <c r="J20" s="165" t="n"/>
      <c r="K20" s="165" t="n"/>
      <c r="L20" s="165" t="n"/>
      <c r="M20" s="165" t="n"/>
      <c r="N20" s="165" t="n"/>
      <c r="O20" s="165" t="n"/>
      <c r="P20" s="166" t="n"/>
      <c r="Q20" s="59" t="n"/>
      <c r="R20" s="59" t="n"/>
    </row>
    <row r="21" ht="33.75" customHeight="1">
      <c r="A21" s="128" t="inlineStr">
        <is>
          <t>Đọc từ trái sang phải: cột Status cho biết phase đang Planned / Running / Done / At risk; cột % Prog thể hiện mức hoàn thành bình quân của task trong phase; phần Weekly Roadmap dùng màu để xác định phase phủ qua tuần nào và tuần nào đang có rủi ro.</t>
        </is>
      </c>
      <c r="B21" s="167" t="n"/>
      <c r="C21" s="167" t="n"/>
      <c r="D21" s="167" t="n"/>
      <c r="E21" s="167" t="n"/>
      <c r="F21" s="167" t="n"/>
      <c r="G21" s="167" t="n"/>
      <c r="H21" s="167" t="n"/>
      <c r="I21" s="167" t="n"/>
      <c r="J21" s="167" t="n"/>
      <c r="K21" s="167" t="n"/>
      <c r="L21" s="167" t="n"/>
      <c r="M21" s="167" t="n"/>
      <c r="N21" s="167" t="n"/>
      <c r="O21" s="167" t="n"/>
      <c r="P21" s="168" t="n"/>
      <c r="Q21" s="59" t="n"/>
      <c r="R21" s="59" t="n"/>
    </row>
    <row r="22" ht="21.75" customHeight="1">
      <c r="A22" s="172" t="n"/>
      <c r="B22" s="173" t="n"/>
      <c r="C22" s="173" t="n"/>
      <c r="D22" s="173" t="n"/>
      <c r="E22" s="173" t="n"/>
      <c r="F22" s="173" t="n"/>
      <c r="G22" s="173" t="n"/>
      <c r="H22" s="173" t="n"/>
      <c r="I22" s="173" t="n"/>
      <c r="J22" s="173" t="n"/>
      <c r="K22" s="173" t="n"/>
      <c r="L22" s="173" t="n"/>
      <c r="M22" s="173" t="n"/>
      <c r="N22" s="173" t="n"/>
      <c r="O22" s="173" t="n"/>
      <c r="P22" s="174" t="n"/>
      <c r="Q22" s="59" t="n"/>
      <c r="R22" s="59" t="n"/>
    </row>
    <row r="23" ht="21.75" customHeight="1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</row>
    <row r="24" ht="21.75" customHeight="1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</row>
    <row r="25" ht="21.75" customHeight="1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</row>
    <row r="26" ht="15" customHeight="1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</row>
    <row r="27" ht="15" customHeight="1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</row>
    <row r="28" ht="15" customHeight="1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</row>
    <row r="29" ht="15" customHeight="1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</row>
    <row r="30" ht="15" customHeight="1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</row>
  </sheetData>
  <mergeCells count="10">
    <mergeCell ref="I4:P4"/>
    <mergeCell ref="A1:P1"/>
    <mergeCell ref="A21:P22"/>
    <mergeCell ref="A4:D4"/>
    <mergeCell ref="E4:H4"/>
    <mergeCell ref="I8:P8"/>
    <mergeCell ref="A20:P20"/>
    <mergeCell ref="A8:H8"/>
    <mergeCell ref="I5:P6"/>
    <mergeCell ref="A2:P2"/>
  </mergeCells>
  <conditionalFormatting sqref="F11:F18">
    <cfRule type="dataBar" priority="2">
      <dataBar>
        <cfvo type="num" val="0"/>
        <cfvo type="num" val="1"/>
        <color rgb="FF0F8B8D"/>
      </dataBar>
    </cfRule>
  </conditionalFormatting>
  <conditionalFormatting sqref="H11:H18">
    <cfRule type="expression" priority="3" dxfId="37">
      <formula>$H11="Planned"</formula>
    </cfRule>
    <cfRule type="expression" priority="4" dxfId="36">
      <formula>$H11="Running"</formula>
    </cfRule>
    <cfRule type="expression" priority="5" dxfId="35">
      <formula>$H11="Done"</formula>
    </cfRule>
    <cfRule type="expression" priority="6" dxfId="34">
      <formula>$H11="At risk"</formula>
    </cfRule>
  </conditionalFormatting>
  <conditionalFormatting sqref="I11:P18">
    <cfRule type="cellIs" priority="7" operator="equal" dxfId="32">
      <formula>1</formula>
    </cfRule>
    <cfRule type="cellIs" priority="8" operator="equal" dxfId="31">
      <formula>2</formula>
    </cfRule>
    <cfRule type="cellIs" priority="9" operator="equal" dxfId="30">
      <formula>3</formula>
    </cfRule>
    <cfRule type="cellIs" priority="39" operator="equal" dxfId="2">
      <formula>3</formula>
    </cfRule>
    <cfRule type="cellIs" priority="40" operator="equal" dxfId="28">
      <formula>2</formula>
    </cfRule>
    <cfRule type="cellIs" priority="41" operator="equal" dxfId="27">
      <formula>1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A67C52"/>
    <outlinePr summaryBelow="1" summaryRight="1"/>
    <pageSetUpPr/>
  </sheetPr>
  <dimension ref="A1:K30"/>
  <sheetViews>
    <sheetView showGridLines="0" tabSelected="1" zoomScaleNormal="100" workbookViewId="0">
      <selection activeCell="F3" sqref="F3"/>
    </sheetView>
  </sheetViews>
  <sheetFormatPr baseColWidth="8" defaultColWidth="8.69140625" defaultRowHeight="12.45"/>
  <cols>
    <col width="6" customWidth="1" min="1" max="1"/>
    <col width="28" customWidth="1" min="2" max="2"/>
    <col width="10.23046875" bestFit="1" customWidth="1" min="3" max="3"/>
    <col width="12" customWidth="1" min="4" max="5"/>
    <col width="40" customWidth="1" min="6" max="6"/>
    <col width="14" customWidth="1" min="7" max="7"/>
    <col width="10" customWidth="1" min="8" max="9"/>
    <col width="10.23046875" bestFit="1" customWidth="1" min="10" max="10"/>
    <col width="22" customWidth="1" min="11" max="11"/>
  </cols>
  <sheetData>
    <row r="1" ht="21.75" customHeight="1">
      <c r="A1" s="118" t="inlineStr">
        <is>
          <t>DELIVERABLES | Theo dõi đầu ra, nghiệm thu và mốc bàn giao</t>
        </is>
      </c>
    </row>
    <row r="2" ht="15" customHeight="1">
      <c r="A2" s="119" t="n"/>
    </row>
    <row r="6" ht="27.75" customHeight="1">
      <c r="A6" s="82" t="inlineStr">
        <is>
          <t>ID</t>
        </is>
      </c>
      <c r="B6" s="82" t="inlineStr">
        <is>
          <t>Deliverable chính</t>
        </is>
      </c>
      <c r="C6" s="82" t="inlineStr">
        <is>
          <t>Owner</t>
        </is>
      </c>
      <c r="D6" s="82" t="inlineStr">
        <is>
          <t>Due</t>
        </is>
      </c>
      <c r="E6" s="82" t="inlineStr">
        <is>
          <t>Linked Task ID</t>
        </is>
      </c>
      <c r="F6" s="82" t="inlineStr">
        <is>
          <t>Acceptance Criteria</t>
        </is>
      </c>
      <c r="G6" s="82" t="inlineStr">
        <is>
          <t>Status</t>
        </is>
      </c>
      <c r="H6" s="82" t="inlineStr">
        <is>
          <t>% Complete</t>
        </is>
      </c>
      <c r="I6" s="82" t="inlineStr">
        <is>
          <t>Last Update</t>
        </is>
      </c>
      <c r="J6" s="82" t="inlineStr">
        <is>
          <t>Reviewer</t>
        </is>
      </c>
    </row>
    <row r="7" ht="24" customHeight="1">
      <c r="A7" s="46" t="inlineStr">
        <is>
          <t>D01</t>
        </is>
      </c>
      <c r="B7" s="47" t="inlineStr">
        <is>
          <t>Proposal + roadmap 8 tuần</t>
        </is>
      </c>
      <c r="C7" s="83">
        <f>IFERROR(VLOOKUP("TV1",TEAM!$A$6:$B$10,2,0),"TV1")</f>
        <v/>
      </c>
      <c r="D7" s="84">
        <f>IFERROR(INDEX(TASK_BOARD!$K$7:$K$150,MATCH($E7,TASK_BOARD!$A$7:$A$150,0)),"")</f>
        <v/>
      </c>
      <c r="E7" s="83" t="inlineStr">
        <is>
          <t>T02</t>
        </is>
      </c>
      <c r="F7" s="47" t="inlineStr">
        <is>
          <t>Proposal 10 trang + roadmap cập nhật</t>
        </is>
      </c>
      <c r="G7" s="85">
        <f>IFERROR(INDEX(TASK_BOARD!$R$7:$R$150,MATCH($E7,TASK_BOARD!$A$7:$A$150,0)),"")</f>
        <v/>
      </c>
      <c r="H7" s="86">
        <f>IFERROR(INDEX(TASK_BOARD!$O$7:$O$150,MATCH($E7,TASK_BOARD!$A$7:$A$150,0)),"")</f>
        <v/>
      </c>
      <c r="I7" s="84">
        <f>IFERROR(INDEX(TASK_BOARD!$P$7:$P$150,MATCH($E7,TASK_BOARD!$A$7:$A$150,0)),"")</f>
        <v/>
      </c>
      <c r="J7" s="83">
        <f>IFERROR(VLOOKUP("TV4",TEAM!$A$6:$B$10,2,0),"TV4")</f>
        <v/>
      </c>
    </row>
    <row r="8" ht="24" customHeight="1">
      <c r="A8" s="46" t="inlineStr">
        <is>
          <t>D02</t>
        </is>
      </c>
      <c r="B8" s="47" t="inlineStr">
        <is>
          <t>Literature matrix</t>
        </is>
      </c>
      <c r="C8" s="83">
        <f>IFERROR(VLOOKUP("TV1",TEAM!$A$6:$B$10,2,0),"TV1")</f>
        <v/>
      </c>
      <c r="D8" s="84">
        <f>IFERROR(INDEX(TASK_BOARD!$K$7:$K$150,MATCH($E8,TASK_BOARD!$A$7:$A$150,0)),"")</f>
        <v/>
      </c>
      <c r="E8" s="83" t="inlineStr">
        <is>
          <t>T04</t>
        </is>
      </c>
      <c r="F8" s="47" t="inlineStr">
        <is>
          <t>Bảng tổng hợp 15-20 tài liệu + keyword plan</t>
        </is>
      </c>
      <c r="G8" s="85">
        <f>IFERROR(INDEX(TASK_BOARD!$R$7:$R$150,MATCH($E8,TASK_BOARD!$A$7:$A$150,0)),"")</f>
        <v/>
      </c>
      <c r="H8" s="86">
        <f>IFERROR(INDEX(TASK_BOARD!$O$7:$O$150,MATCH($E8,TASK_BOARD!$A$7:$A$150,0)),"")</f>
        <v/>
      </c>
      <c r="I8" s="84">
        <f>IFERROR(INDEX(TASK_BOARD!$P$7:$P$150,MATCH($E8,TASK_BOARD!$A$7:$A$150,0)),"")</f>
        <v/>
      </c>
      <c r="J8" s="83">
        <f>IFERROR(VLOOKUP("TV5",TEAM!$A$6:$B$10,2,0),"TV5")</f>
        <v/>
      </c>
    </row>
    <row r="9" ht="24" customHeight="1">
      <c r="A9" s="46" t="inlineStr">
        <is>
          <t>D03</t>
        </is>
      </c>
      <c r="B9" s="47" t="inlineStr">
        <is>
          <t>Data audit package</t>
        </is>
      </c>
      <c r="C9" s="83">
        <f>IFERROR(VLOOKUP("TV2",TEAM!$A$6:$B$10,2,0),"TV2")</f>
        <v/>
      </c>
      <c r="D9" s="84">
        <f>IFERROR(INDEX(TASK_BOARD!$K$7:$K$150,MATCH($E9,TASK_BOARD!$A$7:$A$150,0)),"")</f>
        <v/>
      </c>
      <c r="E9" s="83" t="inlineStr">
        <is>
          <t>T07</t>
        </is>
      </c>
      <c r="F9" s="47" t="inlineStr">
        <is>
          <t>Audit PaySim + IEEE-CIS + schema chung</t>
        </is>
      </c>
      <c r="G9" s="85">
        <f>IFERROR(INDEX(TASK_BOARD!$R$7:$R$150,MATCH($E9,TASK_BOARD!$A$7:$A$150,0)),"")</f>
        <v/>
      </c>
      <c r="H9" s="86">
        <f>IFERROR(INDEX(TASK_BOARD!$O$7:$O$150,MATCH($E9,TASK_BOARD!$A$7:$A$150,0)),"")</f>
        <v/>
      </c>
      <c r="I9" s="84">
        <f>IFERROR(INDEX(TASK_BOARD!$P$7:$P$150,MATCH($E9,TASK_BOARD!$A$7:$A$150,0)),"")</f>
        <v/>
      </c>
      <c r="J9" s="83">
        <f>IFERROR(VLOOKUP("TV4",TEAM!$A$6:$B$10,2,0),"TV4")</f>
        <v/>
      </c>
    </row>
    <row r="10" ht="24" customHeight="1">
      <c r="A10" s="46" t="inlineStr">
        <is>
          <t>D04</t>
        </is>
      </c>
      <c r="B10" s="47" t="inlineStr">
        <is>
          <t>Preprocessing pipeline v1</t>
        </is>
      </c>
      <c r="C10" s="83">
        <f>IFERROR(VLOOKUP("TV2",TEAM!$A$6:$B$10,2,0),"TV2")</f>
        <v/>
      </c>
      <c r="D10" s="84">
        <f>IFERROR(INDEX(TASK_BOARD!$K$7:$K$150,MATCH($E10,TASK_BOARD!$A$7:$A$150,0)),"")</f>
        <v/>
      </c>
      <c r="E10" s="83" t="inlineStr">
        <is>
          <t>T10</t>
        </is>
      </c>
      <c r="F10" s="47" t="inlineStr">
        <is>
          <t>Pipeline chạy được cho 2 nguồn</t>
        </is>
      </c>
      <c r="G10" s="85">
        <f>IFERROR(INDEX(TASK_BOARD!$R$7:$R$150,MATCH($E10,TASK_BOARD!$A$7:$A$150,0)),"")</f>
        <v/>
      </c>
      <c r="H10" s="86">
        <f>IFERROR(INDEX(TASK_BOARD!$O$7:$O$150,MATCH($E10,TASK_BOARD!$A$7:$A$150,0)),"")</f>
        <v/>
      </c>
      <c r="I10" s="84">
        <f>IFERROR(INDEX(TASK_BOARD!$P$7:$P$150,MATCH($E10,TASK_BOARD!$A$7:$A$150,0)),"")</f>
        <v/>
      </c>
      <c r="J10" s="83">
        <f>IFERROR(VLOOKUP("TV4",TEAM!$A$6:$B$10,2,0),"TV4")</f>
        <v/>
      </c>
    </row>
    <row r="11" ht="24" customHeight="1">
      <c r="A11" s="46" t="inlineStr">
        <is>
          <t>D05</t>
        </is>
      </c>
      <c r="B11" s="47" t="inlineStr">
        <is>
          <t>Baseline benchmark (RF)</t>
        </is>
      </c>
      <c r="C11" s="83">
        <f>IFERROR(VLOOKUP("TV3",TEAM!$A$6:$B$10,2,0),"TV3")</f>
        <v/>
      </c>
      <c r="D11" s="84">
        <f>IFERROR(INDEX(TASK_BOARD!$K$7:$K$150,MATCH($E11,TASK_BOARD!$A$7:$A$150,0)),"")</f>
        <v/>
      </c>
      <c r="E11" s="83" t="inlineStr">
        <is>
          <t>T15</t>
        </is>
      </c>
      <c r="F11" s="47" t="inlineStr">
        <is>
          <t>Đánh giá Baseline model RF trên Tabular Data</t>
        </is>
      </c>
      <c r="G11" s="85">
        <f>IFERROR(INDEX(TASK_BOARD!$R$7:$R$150,MATCH($E11,TASK_BOARD!$A$7:$A$150,0)),"")</f>
        <v/>
      </c>
      <c r="H11" s="86">
        <f>IFERROR(INDEX(TASK_BOARD!$O$7:$O$150,MATCH($E11,TASK_BOARD!$A$7:$A$150,0)),"")</f>
        <v/>
      </c>
      <c r="I11" s="84">
        <f>IFERROR(INDEX(TASK_BOARD!$P$7:$P$150,MATCH($E11,TASK_BOARD!$A$7:$A$150,0)),"")</f>
        <v/>
      </c>
      <c r="J11" s="83">
        <f>IFERROR(VLOOKUP("TV4",TEAM!$A$6:$B$10,2,0),"TV4")</f>
        <v/>
      </c>
    </row>
    <row r="12" ht="24" customHeight="1">
      <c r="A12" s="46" t="inlineStr">
        <is>
          <t>D06</t>
        </is>
      </c>
      <c r="B12" s="47" t="inlineStr">
        <is>
          <t>Deep Models (LSTM, GAT) + XAI + Stacking</t>
        </is>
      </c>
      <c r="C12" s="83">
        <f>IFERROR(VLOOKUP("TV3",TEAM!$A$6:$B$10,2,0),"TV3")</f>
        <v/>
      </c>
      <c r="D12" s="84">
        <f>IFERROR(INDEX(TASK_BOARD!$K$7:$K$150,MATCH($E12,TASK_BOARD!$A$7:$A$150,0)),"")</f>
        <v/>
      </c>
      <c r="E12" s="83" t="inlineStr">
        <is>
          <t>T19</t>
        </is>
      </c>
      <c r="F12" s="47" t="inlineStr">
        <is>
          <t>Kết quả Tuning LSTM, GAT + 4 XAI Techniques</t>
        </is>
      </c>
      <c r="G12" s="85">
        <f>IFERROR(INDEX(TASK_BOARD!$R$7:$R$150,MATCH($E12,TASK_BOARD!$A$7:$A$150,0)),"")</f>
        <v/>
      </c>
      <c r="H12" s="86">
        <f>IFERROR(INDEX(TASK_BOARD!$O$7:$O$150,MATCH($E12,TASK_BOARD!$A$7:$A$150,0)),"")</f>
        <v/>
      </c>
      <c r="I12" s="84">
        <f>IFERROR(INDEX(TASK_BOARD!$P$7:$P$150,MATCH($E12,TASK_BOARD!$A$7:$A$150,0)),"")</f>
        <v/>
      </c>
      <c r="J12" s="83">
        <f>IFERROR(VLOOKUP("TV1",TEAM!$A$6:$B$10,2,0),"TV1")</f>
        <v/>
      </c>
    </row>
    <row r="13" ht="24" customHeight="1">
      <c r="A13" s="46" t="inlineStr">
        <is>
          <t>D07</t>
        </is>
      </c>
      <c r="B13" s="47" t="inlineStr">
        <is>
          <t>Scoring flow + dashboard v1</t>
        </is>
      </c>
      <c r="C13" s="83">
        <f>IFERROR(VLOOKUP("TV5",TEAM!$A$6:$B$10,2,0),"TV5")</f>
        <v/>
      </c>
      <c r="D13" s="84">
        <f>IFERROR(INDEX(TASK_BOARD!$K$7:$K$150,MATCH($E13,TASK_BOARD!$A$7:$A$150,0)),"")</f>
        <v/>
      </c>
      <c r="E13" s="83" t="inlineStr">
        <is>
          <t>T22</t>
        </is>
      </c>
      <c r="F13" s="47" t="inlineStr">
        <is>
          <t>Demo chạy được với risk score</t>
        </is>
      </c>
      <c r="G13" s="85">
        <f>IFERROR(INDEX(TASK_BOARD!$R$7:$R$150,MATCH($E13,TASK_BOARD!$A$7:$A$150,0)),"")</f>
        <v/>
      </c>
      <c r="H13" s="86">
        <f>IFERROR(INDEX(TASK_BOARD!$O$7:$O$150,MATCH($E13,TASK_BOARD!$A$7:$A$150,0)),"")</f>
        <v/>
      </c>
      <c r="I13" s="84">
        <f>IFERROR(INDEX(TASK_BOARD!$P$7:$P$150,MATCH($E13,TASK_BOARD!$A$7:$A$150,0)),"")</f>
        <v/>
      </c>
      <c r="J13" s="83">
        <f>IFERROR(VLOOKUP("TV1",TEAM!$A$6:$B$10,2,0),"TV1")</f>
        <v/>
      </c>
    </row>
    <row r="14" ht="24" customHeight="1">
      <c r="A14" s="46" t="inlineStr">
        <is>
          <t>D08</t>
        </is>
      </c>
      <c r="B14" s="47" t="inlineStr">
        <is>
          <t>Draft report + slides</t>
        </is>
      </c>
      <c r="C14" s="83">
        <f>IFERROR(VLOOKUP("TV1",TEAM!$A$6:$B$10,2,0),"TV1")</f>
        <v/>
      </c>
      <c r="D14" s="84">
        <f>IFERROR(INDEX(TASK_BOARD!$K$7:$K$150,MATCH($E14,TASK_BOARD!$A$7:$A$150,0)),"")</f>
        <v/>
      </c>
      <c r="E14" s="83" t="inlineStr">
        <is>
          <t>T27</t>
        </is>
      </c>
      <c r="F14" s="47" t="inlineStr">
        <is>
          <t>Draft report phương pháp/thực nghiệm + slide</t>
        </is>
      </c>
      <c r="G14" s="85">
        <f>IFERROR(INDEX(TASK_BOARD!$R$7:$R$150,MATCH($E14,TASK_BOARD!$A$7:$A$150,0)),"")</f>
        <v/>
      </c>
      <c r="H14" s="86">
        <f>IFERROR(INDEX(TASK_BOARD!$O$7:$O$150,MATCH($E14,TASK_BOARD!$A$7:$A$150,0)),"")</f>
        <v/>
      </c>
      <c r="I14" s="84">
        <f>IFERROR(INDEX(TASK_BOARD!$P$7:$P$150,MATCH($E14,TASK_BOARD!$A$7:$A$150,0)),"")</f>
        <v/>
      </c>
      <c r="J14" s="83">
        <f>IFERROR(VLOOKUP("TV5",TEAM!$A$6:$B$10,2,0),"TV5")</f>
        <v/>
      </c>
    </row>
    <row r="15" ht="24" customHeight="1">
      <c r="A15" s="46" t="inlineStr">
        <is>
          <t>D10</t>
        </is>
      </c>
      <c r="B15" s="47" t="inlineStr">
        <is>
          <t>Ablation Study &amp; Drift Monitor Report</t>
        </is>
      </c>
      <c r="C15" s="83" t="inlineStr">
        <is>
          <t>TV4</t>
        </is>
      </c>
      <c r="D15" s="84">
        <f>IFERROR(INDEX(TASK_BOARD!$K$7:$K$150,MATCH($E15,TASK_BOARD!$A$7:$A$150,0)),"")</f>
        <v/>
      </c>
      <c r="E15" s="83" t="inlineStr">
        <is>
          <t>T20</t>
        </is>
      </c>
      <c r="F15" s="47" t="inlineStr">
        <is>
          <t>Báo cáo ma trận 19-thực nghiệm, P-value McNemar &amp; Cơ chế PSI</t>
        </is>
      </c>
      <c r="G15" s="85">
        <f>IFERROR(INDEX(TASK_BOARD!$R$7:$R$150,MATCH($E15,TASK_BOARD!$A$7:$A$150,0)),"")</f>
        <v/>
      </c>
      <c r="H15" s="86">
        <f>IFERROR(INDEX(TASK_BOARD!$O$7:$O$150,MATCH($E15,TASK_BOARD!$A$7:$A$150,0)),"")</f>
        <v/>
      </c>
      <c r="I15" s="84">
        <f>IFERROR(INDEX(TASK_BOARD!$P$7:$P$150,MATCH($E15,TASK_BOARD!$A$7:$A$150,0)),"")</f>
        <v/>
      </c>
      <c r="J15" s="83">
        <f>IFERROR(VLOOKUP("TV5",TEAM!$A$6:$B$10,2,0),"TV5")</f>
        <v/>
      </c>
    </row>
    <row r="16" ht="24" customHeight="1">
      <c r="A16" s="46" t="n"/>
      <c r="B16" s="47" t="n"/>
      <c r="C16" s="83" t="n"/>
      <c r="D16" s="84" t="n"/>
      <c r="E16" s="83" t="n"/>
      <c r="F16" s="47" t="n"/>
      <c r="G16" s="85" t="n"/>
      <c r="H16" s="86" t="n"/>
      <c r="I16" s="84" t="n"/>
      <c r="J16" s="83" t="n"/>
    </row>
    <row r="17" ht="24" customHeight="1">
      <c r="A17" s="46" t="n"/>
      <c r="B17" s="47" t="n"/>
      <c r="C17" s="83" t="n"/>
      <c r="D17" s="84" t="n"/>
      <c r="E17" s="83" t="n"/>
      <c r="F17" s="47" t="n"/>
      <c r="G17" s="85" t="n"/>
      <c r="H17" s="86" t="n"/>
      <c r="I17" s="84" t="n"/>
      <c r="J17" s="83" t="n"/>
    </row>
    <row r="18" hidden="1" ht="15" customHeight="1">
      <c r="A18" s="46" t="n"/>
      <c r="B18" s="47" t="n"/>
      <c r="C18" s="83" t="n"/>
      <c r="D18" s="84" t="n"/>
      <c r="E18" s="83" t="n"/>
      <c r="F18" s="47" t="n"/>
      <c r="G18" s="85" t="n"/>
      <c r="H18" s="86" t="n"/>
      <c r="I18" s="84" t="n"/>
      <c r="J18" s="83" t="n"/>
    </row>
    <row r="19" hidden="1" ht="15" customHeight="1">
      <c r="A19" s="46" t="n"/>
      <c r="B19" s="47" t="n"/>
      <c r="C19" s="83" t="n"/>
      <c r="D19" s="84" t="n"/>
      <c r="E19" s="83" t="n"/>
      <c r="F19" s="47" t="n"/>
      <c r="G19" s="85" t="n"/>
      <c r="H19" s="86" t="n"/>
      <c r="I19" s="84" t="n"/>
      <c r="J19" s="83" t="n"/>
    </row>
    <row r="20" hidden="1" ht="15" customHeight="1">
      <c r="A20" s="46" t="n"/>
      <c r="B20" s="47" t="n"/>
      <c r="C20" s="83" t="n"/>
      <c r="D20" s="84" t="n"/>
      <c r="E20" s="83" t="n"/>
      <c r="F20" s="47" t="n"/>
      <c r="G20" s="85" t="n"/>
      <c r="H20" s="86" t="n"/>
      <c r="I20" s="84" t="n"/>
      <c r="J20" s="83" t="n"/>
    </row>
    <row r="21" hidden="1" ht="15" customHeight="1">
      <c r="A21" s="46" t="n"/>
      <c r="B21" s="47" t="n"/>
      <c r="C21" s="83" t="n"/>
      <c r="D21" s="84" t="n"/>
      <c r="E21" s="83" t="n"/>
      <c r="F21" s="47" t="n"/>
      <c r="G21" s="85" t="n"/>
      <c r="H21" s="86" t="n"/>
      <c r="I21" s="84" t="n"/>
      <c r="J21" s="83" t="n"/>
    </row>
    <row r="22" hidden="1" ht="15" customHeight="1">
      <c r="A22" s="46" t="n"/>
      <c r="B22" s="47" t="n"/>
      <c r="C22" s="83" t="n"/>
      <c r="D22" s="84" t="n"/>
      <c r="E22" s="83" t="n"/>
      <c r="F22" s="47" t="n"/>
      <c r="G22" s="85" t="n"/>
      <c r="H22" s="86" t="n"/>
      <c r="I22" s="84" t="n"/>
      <c r="J22" s="83" t="n"/>
    </row>
    <row r="23" hidden="1" ht="15" customHeight="1">
      <c r="A23" s="46" t="n"/>
      <c r="B23" s="47" t="n"/>
      <c r="C23" s="83" t="n"/>
      <c r="D23" s="84" t="n"/>
      <c r="E23" s="83" t="n"/>
      <c r="F23" s="47" t="n"/>
      <c r="G23" s="85" t="n"/>
      <c r="H23" s="86" t="n"/>
      <c r="I23" s="84" t="n"/>
      <c r="J23" s="83" t="n"/>
    </row>
    <row r="24" hidden="1" ht="15" customHeight="1">
      <c r="A24" s="46" t="n"/>
      <c r="B24" s="47" t="n"/>
      <c r="C24" s="83" t="n"/>
      <c r="D24" s="84" t="n"/>
      <c r="E24" s="83" t="n"/>
      <c r="F24" s="47" t="n"/>
      <c r="G24" s="85" t="n"/>
      <c r="H24" s="86" t="n"/>
      <c r="I24" s="84" t="n"/>
      <c r="J24" s="83" t="n"/>
    </row>
    <row r="25" hidden="1" ht="15" customHeight="1">
      <c r="A25" s="46" t="n"/>
      <c r="B25" s="47" t="n"/>
      <c r="C25" s="83" t="n"/>
      <c r="D25" s="84" t="n"/>
      <c r="E25" s="83" t="n"/>
      <c r="F25" s="47" t="n"/>
      <c r="G25" s="85" t="n"/>
      <c r="H25" s="86" t="n"/>
      <c r="I25" s="84" t="n"/>
      <c r="J25" s="83" t="n"/>
    </row>
    <row r="26" hidden="1" ht="15" customHeight="1">
      <c r="A26" s="46" t="n"/>
      <c r="B26" s="47" t="n"/>
      <c r="C26" s="83" t="n"/>
      <c r="D26" s="84" t="n"/>
      <c r="E26" s="83" t="n"/>
      <c r="F26" s="47" t="n"/>
      <c r="G26" s="85" t="n"/>
      <c r="H26" s="86" t="n"/>
      <c r="I26" s="84" t="n"/>
      <c r="J26" s="83" t="n"/>
    </row>
    <row r="27" hidden="1" ht="15" customHeight="1">
      <c r="A27" s="46" t="n"/>
      <c r="B27" s="47" t="n"/>
      <c r="C27" s="83" t="n"/>
      <c r="D27" s="84" t="n"/>
      <c r="E27" s="83" t="n"/>
      <c r="F27" s="47" t="n"/>
      <c r="G27" s="85" t="n"/>
      <c r="H27" s="86" t="n"/>
      <c r="I27" s="84" t="n"/>
      <c r="J27" s="83" t="n"/>
    </row>
    <row r="28" hidden="1" ht="15" customHeight="1">
      <c r="A28" s="46" t="n"/>
      <c r="B28" s="47" t="n"/>
      <c r="C28" s="83" t="n"/>
      <c r="D28" s="84" t="n"/>
      <c r="E28" s="83" t="n"/>
      <c r="F28" s="47" t="n"/>
      <c r="G28" s="85" t="n"/>
      <c r="H28" s="86" t="n"/>
      <c r="I28" s="84" t="n"/>
      <c r="J28" s="83" t="n"/>
    </row>
    <row r="29" hidden="1" ht="15" customHeight="1">
      <c r="A29" s="46" t="n"/>
      <c r="B29" s="47" t="n"/>
      <c r="C29" s="83" t="n"/>
      <c r="D29" s="84" t="n"/>
      <c r="E29" s="83" t="n"/>
      <c r="F29" s="47" t="n"/>
      <c r="G29" s="85" t="n"/>
      <c r="H29" s="86" t="n"/>
      <c r="I29" s="84" t="n"/>
      <c r="J29" s="83" t="n"/>
    </row>
    <row r="30" hidden="1" ht="15" customHeight="1">
      <c r="A30" s="46" t="n"/>
      <c r="B30" s="47" t="n"/>
      <c r="C30" s="83" t="n"/>
      <c r="D30" s="84" t="n"/>
      <c r="E30" s="83" t="n"/>
      <c r="F30" s="47" t="n"/>
      <c r="G30" s="85" t="n"/>
      <c r="H30" s="86" t="n"/>
      <c r="I30" s="84" t="n"/>
      <c r="J30" s="83" t="n"/>
    </row>
  </sheetData>
  <mergeCells count="2">
    <mergeCell ref="A2:K2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8064A2"/>
    <outlinePr summaryBelow="1" summaryRight="1"/>
    <pageSetUpPr/>
  </sheetPr>
  <dimension ref="A1:M10"/>
  <sheetViews>
    <sheetView showGridLines="0" zoomScaleNormal="100" workbookViewId="0">
      <selection activeCell="F6" sqref="F6"/>
    </sheetView>
  </sheetViews>
  <sheetFormatPr baseColWidth="8" defaultColWidth="8.69140625" defaultRowHeight="12.45"/>
  <cols>
    <col width="10" customWidth="1" min="1" max="1"/>
    <col width="22" customWidth="1" min="2" max="2"/>
    <col width="24" customWidth="1" min="3" max="3"/>
    <col width="28" customWidth="1" min="4" max="4"/>
    <col width="12" customWidth="1" min="5" max="5"/>
    <col width="24" customWidth="1" min="6" max="6"/>
    <col width="12" customWidth="1" min="7" max="7"/>
    <col width="10" customWidth="1" min="8" max="8"/>
    <col width="12" customWidth="1" min="9" max="10"/>
    <col width="10" customWidth="1" min="11" max="13"/>
  </cols>
  <sheetData>
    <row r="1" ht="21.75" customHeight="1">
      <c r="A1" s="118" t="inlineStr">
        <is>
          <t>TEAM | Cấu trúc nhóm 5 người và tải việc</t>
        </is>
      </c>
    </row>
    <row r="2" ht="15" customHeight="1">
      <c r="A2" s="119" t="inlineStr">
        <is>
          <t>Điền tên thật vào cột "Thành viên". Các sheet khác dùng mã TV1–TV5 nên sửa tên không làm vỡ công thức.</t>
        </is>
      </c>
    </row>
    <row r="5" ht="15" customHeight="1">
      <c r="A5" s="82" t="inlineStr">
        <is>
          <t>Code</t>
        </is>
      </c>
      <c r="B5" s="82" t="inlineStr">
        <is>
          <t>Thành viên</t>
        </is>
      </c>
      <c r="C5" s="82" t="inlineStr">
        <is>
          <t>Vai trò chính</t>
        </is>
      </c>
      <c r="D5" s="82" t="inlineStr">
        <is>
          <t>Workstream phụ trách</t>
        </is>
      </c>
      <c r="E5" s="82" t="inlineStr">
        <is>
          <t>Backup</t>
        </is>
      </c>
      <c r="F5" s="82" t="inlineStr">
        <is>
          <t>Email / Contact</t>
        </is>
      </c>
      <c r="G5" s="82" t="inlineStr">
        <is>
          <t>Capacity %</t>
        </is>
      </c>
      <c r="H5" s="82" t="inlineStr">
        <is>
          <t>Giờ/tuần</t>
        </is>
      </c>
      <c r="I5" s="82" t="inlineStr">
        <is>
          <t>Open Tasks</t>
        </is>
      </c>
      <c r="J5" s="82" t="inlineStr">
        <is>
          <t>Due 7d</t>
        </is>
      </c>
      <c r="K5" s="82" t="inlineStr">
        <is>
          <t>Overdue</t>
        </is>
      </c>
      <c r="L5" s="82" t="inlineStr">
        <is>
          <t>Blocked</t>
        </is>
      </c>
      <c r="M5" s="82" t="inlineStr">
        <is>
          <t>Done %</t>
        </is>
      </c>
    </row>
    <row r="6" ht="24" customHeight="1">
      <c r="A6" s="46" t="inlineStr">
        <is>
          <t>TV1</t>
        </is>
      </c>
      <c r="B6" s="87" t="inlineStr">
        <is>
          <t>Thành viên 1</t>
        </is>
      </c>
      <c r="C6" s="47" t="inlineStr">
        <is>
          <t>Leader + Literature + Final report</t>
        </is>
      </c>
      <c r="D6" s="47" t="inlineStr">
        <is>
          <t>Governance, literature, report, defense</t>
        </is>
      </c>
      <c r="E6" s="46" t="inlineStr">
        <is>
          <t>TV5</t>
        </is>
      </c>
      <c r="F6" s="87" t="n"/>
      <c r="G6" s="88" t="n">
        <v>1</v>
      </c>
      <c r="H6" s="46" t="n">
        <v>12</v>
      </c>
      <c r="I6" s="85">
        <f>COUNTIFS(TASK_BOARD!$G$7:$G$150,$A6,TASK_BOARD!$A$7:$A$150,"&lt;&gt;",TASK_BOARD!$R$7:$R$150,"&lt;&gt;Hoàn thành")</f>
        <v/>
      </c>
      <c r="J6" s="85">
        <f>COUNTIFS(TASK_BOARD!$G$7:$G$150,$A6,TASK_BOARD!$K$7:$K$150,"&gt;="&amp;CONFIG!$B$5,TASK_BOARD!$K$7:$K$150,"&lt;="&amp;CONFIG!$B$5+7,TASK_BOARD!$R$7:$R$150,"&lt;&gt;Hoàn thành")</f>
        <v/>
      </c>
      <c r="K6" s="89">
        <f>COUNTIFS(TASK_BOARD!$G$7:$G$150,$A6,TASK_BOARD!$R$7:$R$150,"Trễ hạn")</f>
        <v/>
      </c>
      <c r="L6" s="89">
        <f>COUNTIFS(TASK_BOARD!$G$7:$G$150,$A6,TASK_BOARD!$R$7:$R$150,"Blocked")</f>
        <v/>
      </c>
      <c r="M6" s="86">
        <f>IFERROR(COUNTIFS(TASK_BOARD!$G$7:$G$150,$A6,TASK_BOARD!$R$7:$R$150,"Hoàn thành")/COUNTIFS(TASK_BOARD!$G$7:$G$150,$A6,TASK_BOARD!$A$7:$A$150,"&lt;&gt;"),0)</f>
        <v/>
      </c>
    </row>
    <row r="7" ht="24" customHeight="1">
      <c r="A7" s="46" t="inlineStr">
        <is>
          <t>TV2</t>
        </is>
      </c>
      <c r="B7" s="87" t="inlineStr">
        <is>
          <t>Thành viên 2</t>
        </is>
      </c>
      <c r="C7" s="47" t="inlineStr">
        <is>
          <t>Data Engineer (PaySim)</t>
        </is>
      </c>
      <c r="D7" s="47" t="inlineStr">
        <is>
          <t>PaySim EDA, preprocessing, pipeline, integration</t>
        </is>
      </c>
      <c r="E7" s="46" t="inlineStr">
        <is>
          <t>TV3</t>
        </is>
      </c>
      <c r="F7" s="87" t="n"/>
      <c r="G7" s="88" t="n">
        <v>0.85</v>
      </c>
      <c r="H7" s="46" t="n">
        <v>10</v>
      </c>
      <c r="I7" s="85">
        <f>COUNTIFS(TASK_BOARD!$G$7:$G$150,$A7,TASK_BOARD!$A$7:$A$150,"&lt;&gt;",TASK_BOARD!$R$7:$R$150,"&lt;&gt;Hoàn thành")</f>
        <v/>
      </c>
      <c r="J7" s="85">
        <f>COUNTIFS(TASK_BOARD!$G$7:$G$150,$A7,TASK_BOARD!$K$7:$K$150,"&gt;="&amp;CONFIG!$B$5,TASK_BOARD!$K$7:$K$150,"&lt;="&amp;CONFIG!$B$5+7,TASK_BOARD!$R$7:$R$150,"&lt;&gt;Hoàn thành")</f>
        <v/>
      </c>
      <c r="K7" s="89">
        <f>COUNTIFS(TASK_BOARD!$G$7:$G$150,$A7,TASK_BOARD!$R$7:$R$150,"Trễ hạn")</f>
        <v/>
      </c>
      <c r="L7" s="89">
        <f>COUNTIFS(TASK_BOARD!$G$7:$G$150,$A7,TASK_BOARD!$R$7:$R$150,"Blocked")</f>
        <v/>
      </c>
      <c r="M7" s="86">
        <f>IFERROR(COUNTIFS(TASK_BOARD!$G$7:$G$150,$A7,TASK_BOARD!$R$7:$R$150,"Hoàn thành")/COUNTIFS(TASK_BOARD!$G$7:$G$150,$A7,TASK_BOARD!$A$7:$A$150,"&lt;&gt;"),0)</f>
        <v/>
      </c>
    </row>
    <row r="8" ht="24" customHeight="1">
      <c r="A8" s="46" t="inlineStr">
        <is>
          <t>TV3</t>
        </is>
      </c>
      <c r="B8" s="87" t="inlineStr">
        <is>
          <t>Thành viên 3</t>
        </is>
      </c>
      <c r="C8" s="47" t="inlineStr">
        <is>
          <t>Modeling Lead (IEEE-CIS + Ensemble)</t>
        </is>
      </c>
      <c r="D8" s="47" t="inlineStr">
        <is>
          <t>IEEE-CIS join, features, advanced models, ensemble</t>
        </is>
      </c>
      <c r="E8" s="46" t="inlineStr">
        <is>
          <t>TV2</t>
        </is>
      </c>
      <c r="F8" s="87" t="n"/>
      <c r="G8" s="88" t="n">
        <v>0.85</v>
      </c>
      <c r="H8" s="46" t="n">
        <v>10</v>
      </c>
      <c r="I8" s="85">
        <f>COUNTIFS(TASK_BOARD!$G$7:$G$150,$A8,TASK_BOARD!$A$7:$A$150,"&lt;&gt;",TASK_BOARD!$R$7:$R$150,"&lt;&gt;Hoàn thành")</f>
        <v/>
      </c>
      <c r="J8" s="85">
        <f>COUNTIFS(TASK_BOARD!$G$7:$G$150,$A8,TASK_BOARD!$K$7:$K$150,"&gt;="&amp;CONFIG!$B$5,TASK_BOARD!$K$7:$K$150,"&lt;="&amp;CONFIG!$B$5+7,TASK_BOARD!$R$7:$R$150,"&lt;&gt;Hoàn thành")</f>
        <v/>
      </c>
      <c r="K8" s="89">
        <f>COUNTIFS(TASK_BOARD!$G$7:$G$150,$A8,TASK_BOARD!$R$7:$R$150,"Trễ hạn")</f>
        <v/>
      </c>
      <c r="L8" s="89">
        <f>COUNTIFS(TASK_BOARD!$G$7:$G$150,$A8,TASK_BOARD!$R$7:$R$150,"Blocked")</f>
        <v/>
      </c>
      <c r="M8" s="86">
        <f>IFERROR(COUNTIFS(TASK_BOARD!$G$7:$G$150,$A8,TASK_BOARD!$R$7:$R$150,"Hoàn thành")/COUNTIFS(TASK_BOARD!$G$7:$G$150,$A8,TASK_BOARD!$A$7:$A$150,"&lt;&gt;"),0)</f>
        <v/>
      </c>
    </row>
    <row r="9" ht="24" customHeight="1">
      <c r="A9" s="46" t="inlineStr">
        <is>
          <t>TV4</t>
        </is>
      </c>
      <c r="B9" s="87" t="inlineStr">
        <is>
          <t>Thành viên 4</t>
        </is>
      </c>
      <c r="C9" s="47" t="inlineStr">
        <is>
          <t>QA / Evaluation / XAI</t>
        </is>
      </c>
      <c r="D9" s="47" t="inlineStr">
        <is>
          <t>Metrics, testing, issue control, SHAP, validation</t>
        </is>
      </c>
      <c r="E9" s="46" t="inlineStr">
        <is>
          <t>TV1</t>
        </is>
      </c>
      <c r="F9" s="87" t="n"/>
      <c r="G9" s="88" t="n">
        <v>0.7</v>
      </c>
      <c r="H9" s="46" t="n">
        <v>8</v>
      </c>
      <c r="I9" s="85">
        <f>COUNTIFS(TASK_BOARD!$G$7:$G$150,$A9,TASK_BOARD!$A$7:$A$150,"&lt;&gt;",TASK_BOARD!$R$7:$R$150,"&lt;&gt;Hoàn thành")</f>
        <v/>
      </c>
      <c r="J9" s="85">
        <f>COUNTIFS(TASK_BOARD!$G$7:$G$150,$A9,TASK_BOARD!$K$7:$K$150,"&gt;="&amp;CONFIG!$B$5,TASK_BOARD!$K$7:$K$150,"&lt;="&amp;CONFIG!$B$5+7,TASK_BOARD!$R$7:$R$150,"&lt;&gt;Hoàn thành")</f>
        <v/>
      </c>
      <c r="K9" s="89">
        <f>COUNTIFS(TASK_BOARD!$G$7:$G$150,$A9,TASK_BOARD!$R$7:$R$150,"Trễ hạn")</f>
        <v/>
      </c>
      <c r="L9" s="89">
        <f>COUNTIFS(TASK_BOARD!$G$7:$G$150,$A9,TASK_BOARD!$R$7:$R$150,"Blocked")</f>
        <v/>
      </c>
      <c r="M9" s="86">
        <f>IFERROR(COUNTIFS(TASK_BOARD!$G$7:$G$150,$A9,TASK_BOARD!$R$7:$R$150,"Hoàn thành")/COUNTIFS(TASK_BOARD!$G$7:$G$150,$A9,TASK_BOARD!$A$7:$A$150,"&lt;&gt;"),0)</f>
        <v/>
      </c>
    </row>
    <row r="10" ht="24" customHeight="1">
      <c r="A10" s="46" t="inlineStr">
        <is>
          <t>TV5</t>
        </is>
      </c>
      <c r="B10" s="87" t="inlineStr">
        <is>
          <t>Thành viên 5</t>
        </is>
      </c>
      <c r="C10" s="47" t="inlineStr">
        <is>
          <t>Dashboard / PM Support / Slides</t>
        </is>
      </c>
      <c r="D10" s="47" t="inlineStr">
        <is>
          <t>Tracker, dashboard, demo, slide deck, formatting</t>
        </is>
      </c>
      <c r="E10" s="46" t="inlineStr">
        <is>
          <t>TV1</t>
        </is>
      </c>
      <c r="F10" s="87" t="n"/>
      <c r="G10" s="88" t="n">
        <v>0.7</v>
      </c>
      <c r="H10" s="46" t="n">
        <v>8</v>
      </c>
      <c r="I10" s="85">
        <f>COUNTIFS(TASK_BOARD!$G$7:$G$150,$A10,TASK_BOARD!$A$7:$A$150,"&lt;&gt;",TASK_BOARD!$R$7:$R$150,"&lt;&gt;Hoàn thành")</f>
        <v/>
      </c>
      <c r="J10" s="85">
        <f>COUNTIFS(TASK_BOARD!$G$7:$G$150,$A10,TASK_BOARD!$K$7:$K$150,"&gt;="&amp;CONFIG!$B$5,TASK_BOARD!$K$7:$K$150,"&lt;="&amp;CONFIG!$B$5+7,TASK_BOARD!$R$7:$R$150,"&lt;&gt;Hoàn thành")</f>
        <v/>
      </c>
      <c r="K10" s="89">
        <f>COUNTIFS(TASK_BOARD!$G$7:$G$150,$A10,TASK_BOARD!$R$7:$R$150,"Trễ hạn")</f>
        <v/>
      </c>
      <c r="L10" s="89">
        <f>COUNTIFS(TASK_BOARD!$G$7:$G$150,$A10,TASK_BOARD!$R$7:$R$150,"Blocked")</f>
        <v/>
      </c>
      <c r="M10" s="86">
        <f>IFERROR(COUNTIFS(TASK_BOARD!$G$7:$G$150,$A10,TASK_BOARD!$R$7:$R$150,"Hoàn thành")/COUNTIFS(TASK_BOARD!$G$7:$G$150,$A10,TASK_BOARD!$A$7:$A$150,"&lt;&gt;"),0)</f>
        <v/>
      </c>
    </row>
    <row r="11" ht="24" customHeight="1"/>
  </sheetData>
  <mergeCells count="2">
    <mergeCell ref="A2:M2"/>
    <mergeCell ref="A1:M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K49"/>
  <sheetViews>
    <sheetView showGridLines="0" zoomScaleNormal="100" workbookViewId="0">
      <selection activeCell="J8" sqref="J8"/>
    </sheetView>
  </sheetViews>
  <sheetFormatPr baseColWidth="8" defaultColWidth="8.69140625" defaultRowHeight="12.45"/>
  <cols>
    <col width="10" customWidth="1" min="1" max="1"/>
    <col width="12" customWidth="1" min="2" max="2"/>
    <col width="5" customWidth="1" min="3" max="3"/>
    <col width="16" customWidth="1" min="4" max="4"/>
    <col width="40" customWidth="1" min="5" max="6"/>
    <col width="14" customWidth="1" min="7" max="7"/>
    <col width="8" customWidth="1" min="8" max="8"/>
    <col width="10" customWidth="1" min="9" max="9"/>
    <col width="12" customWidth="1" min="10" max="10"/>
    <col width="22" customWidth="1" min="11" max="11"/>
  </cols>
  <sheetData>
    <row r="1" ht="19.5" customHeight="1">
      <c r="A1" s="129" t="inlineStr">
        <is>
          <t>MEETING LOG | Quyết định, action item và follow-up sau họp</t>
        </is>
      </c>
    </row>
    <row r="2" ht="15" customHeight="1">
      <c r="A2" s="119" t="inlineStr">
        <is>
          <t>Nếu action kéo dài &gt;1 ngày hoặc ảnh hưởng milestone, tạo task trong TASK_BOARD rồi link ID ở Notes.</t>
        </is>
      </c>
    </row>
    <row r="6" ht="27.75" customHeight="1">
      <c r="A6" s="82" t="inlineStr">
        <is>
          <t>Meeting ID</t>
        </is>
      </c>
      <c r="B6" s="82" t="inlineStr">
        <is>
          <t>Date</t>
        </is>
      </c>
      <c r="C6" s="82" t="inlineStr">
        <is>
          <t>Week</t>
        </is>
      </c>
      <c r="D6" s="82" t="inlineStr">
        <is>
          <t>Participants</t>
        </is>
      </c>
      <c r="E6" s="82" t="inlineStr">
        <is>
          <t>Mục tiêu</t>
        </is>
      </c>
      <c r="F6" s="82" t="inlineStr">
        <is>
          <t>Key Decisions</t>
        </is>
      </c>
      <c r="G6" s="82" t="inlineStr">
        <is>
          <t>Action Item</t>
        </is>
      </c>
      <c r="H6" s="82" t="inlineStr">
        <is>
          <t>Owner</t>
        </is>
      </c>
      <c r="I6" s="82" t="inlineStr">
        <is>
          <t>Due</t>
        </is>
      </c>
      <c r="J6" s="82" t="inlineStr">
        <is>
          <t>Status</t>
        </is>
      </c>
    </row>
    <row r="7" ht="24" customHeight="1">
      <c r="A7" s="46" t="inlineStr">
        <is>
          <t>M01</t>
        </is>
      </c>
      <c r="B7" s="90" t="n">
        <v>46097</v>
      </c>
      <c r="C7" s="46" t="inlineStr">
        <is>
          <t>W1</t>
        </is>
      </c>
      <c r="D7" s="47" t="inlineStr">
        <is>
          <t>TV1-TV5</t>
        </is>
      </c>
      <c r="E7" s="47" t="inlineStr">
        <is>
          <t>Kickoff &amp; role alignment</t>
        </is>
      </c>
      <c r="F7" s="47" t="inlineStr">
        <is>
          <t>Chốt scope, timeline, role, cadence</t>
        </is>
      </c>
      <c r="G7" s="47" t="inlineStr">
        <is>
          <t>Finalize proposal and tracker</t>
        </is>
      </c>
      <c r="H7" s="83" t="inlineStr">
        <is>
          <t>TV1</t>
        </is>
      </c>
      <c r="I7" s="90" t="n">
        <v>46102</v>
      </c>
      <c r="J7" s="83" t="inlineStr">
        <is>
          <t>In Progress</t>
        </is>
      </c>
    </row>
    <row r="8" ht="24" customHeight="1">
      <c r="A8" s="46" t="inlineStr">
        <is>
          <t>M02</t>
        </is>
      </c>
      <c r="B8" s="90" t="n"/>
      <c r="C8" s="46" t="inlineStr">
        <is>
          <t>W2</t>
        </is>
      </c>
      <c r="D8" s="47" t="inlineStr">
        <is>
          <t>TV1-TV5</t>
        </is>
      </c>
      <c r="E8" s="47" t="inlineStr">
        <is>
          <t>Review data audit</t>
        </is>
      </c>
      <c r="F8" s="47" t="inlineStr">
        <is>
          <t>Chốt schema chung, risk dữ liệu</t>
        </is>
      </c>
      <c r="G8" s="47" t="inlineStr">
        <is>
          <t>Create common schema v1</t>
        </is>
      </c>
      <c r="H8" s="83" t="inlineStr">
        <is>
          <t>TV2</t>
        </is>
      </c>
      <c r="I8" s="90" t="n">
        <v>46110</v>
      </c>
      <c r="J8" s="83" t="inlineStr">
        <is>
          <t>Open</t>
        </is>
      </c>
    </row>
    <row r="9" ht="24" customHeight="1">
      <c r="A9" s="46" t="inlineStr">
        <is>
          <t>M03</t>
        </is>
      </c>
      <c r="B9" s="90" t="n"/>
      <c r="C9" s="46" t="inlineStr">
        <is>
          <t>W4</t>
        </is>
      </c>
      <c r="D9" s="47" t="inlineStr">
        <is>
          <t>TV1-TV5</t>
        </is>
      </c>
      <c r="E9" s="47" t="inlineStr">
        <is>
          <t>Baseline review gate</t>
        </is>
      </c>
      <c r="F9" s="47" t="inlineStr">
        <is>
          <t>Go / No-go advanced model</t>
        </is>
      </c>
      <c r="G9" s="47" t="inlineStr">
        <is>
          <t>Sign off baseline memo</t>
        </is>
      </c>
      <c r="H9" s="83" t="inlineStr">
        <is>
          <t>TV4</t>
        </is>
      </c>
      <c r="I9" s="90" t="n">
        <v>46124</v>
      </c>
      <c r="J9" s="83" t="inlineStr">
        <is>
          <t>Open</t>
        </is>
      </c>
    </row>
    <row r="10" ht="24" customHeight="1">
      <c r="A10" s="46" t="n"/>
      <c r="B10" s="83" t="n"/>
      <c r="C10" s="46" t="n"/>
      <c r="D10" s="47" t="n"/>
      <c r="E10" s="47" t="n"/>
      <c r="F10" s="47" t="n"/>
      <c r="G10" s="47" t="n"/>
      <c r="H10" s="83" t="n"/>
      <c r="I10" s="83" t="n"/>
      <c r="J10" s="83" t="n"/>
    </row>
    <row r="11" ht="24" customHeight="1">
      <c r="A11" s="46" t="n"/>
      <c r="B11" s="83" t="n"/>
      <c r="C11" s="46" t="n"/>
      <c r="D11" s="47" t="n"/>
      <c r="E11" s="47" t="n"/>
      <c r="F11" s="47" t="n"/>
      <c r="G11" s="47" t="n"/>
      <c r="H11" s="83" t="n"/>
      <c r="I11" s="83" t="n"/>
      <c r="J11" s="83" t="n"/>
    </row>
    <row r="12" ht="24" customHeight="1">
      <c r="A12" s="46" t="n"/>
      <c r="B12" s="83" t="n"/>
      <c r="C12" s="46" t="n"/>
      <c r="D12" s="47" t="n"/>
      <c r="E12" s="47" t="n"/>
      <c r="F12" s="47" t="n"/>
      <c r="G12" s="47" t="n"/>
      <c r="H12" s="83" t="n"/>
      <c r="I12" s="83" t="n"/>
      <c r="J12" s="83" t="n"/>
    </row>
    <row r="13" ht="24" customHeight="1">
      <c r="A13" s="46" t="n"/>
      <c r="B13" s="83" t="n"/>
      <c r="C13" s="46" t="n"/>
      <c r="D13" s="47" t="n"/>
      <c r="E13" s="47" t="n"/>
      <c r="F13" s="47" t="n"/>
      <c r="G13" s="47" t="n"/>
      <c r="H13" s="83" t="n"/>
      <c r="I13" s="83" t="n"/>
      <c r="J13" s="83" t="n"/>
    </row>
    <row r="14" ht="24" customHeight="1">
      <c r="A14" s="46" t="n"/>
      <c r="B14" s="83" t="n"/>
      <c r="C14" s="46" t="n"/>
      <c r="D14" s="47" t="n"/>
      <c r="E14" s="47" t="n"/>
      <c r="F14" s="47" t="n"/>
      <c r="G14" s="47" t="n"/>
      <c r="H14" s="83" t="n"/>
      <c r="I14" s="83" t="n"/>
      <c r="J14" s="83" t="n"/>
    </row>
    <row r="15" hidden="1" ht="15" customHeight="1">
      <c r="A15" s="46" t="n"/>
      <c r="B15" s="83" t="n"/>
      <c r="C15" s="46" t="n"/>
      <c r="D15" s="47" t="n"/>
      <c r="E15" s="47" t="n"/>
      <c r="F15" s="47" t="n"/>
      <c r="G15" s="47" t="n"/>
      <c r="H15" s="83" t="n"/>
      <c r="I15" s="83" t="n"/>
      <c r="J15" s="83" t="n"/>
    </row>
    <row r="16" hidden="1" ht="15" customHeight="1">
      <c r="A16" s="46" t="n"/>
      <c r="B16" s="83" t="n"/>
      <c r="C16" s="46" t="n"/>
      <c r="D16" s="47" t="n"/>
      <c r="E16" s="47" t="n"/>
      <c r="F16" s="47" t="n"/>
      <c r="G16" s="47" t="n"/>
      <c r="H16" s="83" t="n"/>
      <c r="I16" s="83" t="n"/>
      <c r="J16" s="83" t="n"/>
    </row>
    <row r="17" hidden="1" ht="15" customHeight="1">
      <c r="A17" s="46" t="n"/>
      <c r="B17" s="83" t="n"/>
      <c r="C17" s="46" t="n"/>
      <c r="D17" s="47" t="n"/>
      <c r="E17" s="47" t="n"/>
      <c r="F17" s="47" t="n"/>
      <c r="G17" s="47" t="n"/>
      <c r="H17" s="83" t="n"/>
      <c r="I17" s="83" t="n"/>
      <c r="J17" s="83" t="n"/>
    </row>
    <row r="18" hidden="1" ht="15" customHeight="1">
      <c r="A18" s="46" t="n"/>
      <c r="B18" s="83" t="n"/>
      <c r="C18" s="46" t="n"/>
      <c r="D18" s="47" t="n"/>
      <c r="E18" s="47" t="n"/>
      <c r="F18" s="47" t="n"/>
      <c r="G18" s="47" t="n"/>
      <c r="H18" s="83" t="n"/>
      <c r="I18" s="83" t="n"/>
      <c r="J18" s="83" t="n"/>
    </row>
    <row r="19" hidden="1" ht="15" customHeight="1">
      <c r="A19" s="46" t="n"/>
      <c r="B19" s="83" t="n"/>
      <c r="C19" s="46" t="n"/>
      <c r="D19" s="47" t="n"/>
      <c r="E19" s="47" t="n"/>
      <c r="F19" s="47" t="n"/>
      <c r="G19" s="47" t="n"/>
      <c r="H19" s="83" t="n"/>
      <c r="I19" s="83" t="n"/>
      <c r="J19" s="83" t="n"/>
    </row>
    <row r="20" hidden="1" ht="15" customHeight="1">
      <c r="A20" s="46" t="n"/>
      <c r="B20" s="83" t="n"/>
      <c r="C20" s="46" t="n"/>
      <c r="D20" s="47" t="n"/>
      <c r="E20" s="47" t="n"/>
      <c r="F20" s="47" t="n"/>
      <c r="G20" s="47" t="n"/>
      <c r="H20" s="83" t="n"/>
      <c r="I20" s="83" t="n"/>
      <c r="J20" s="83" t="n"/>
    </row>
    <row r="21" hidden="1" ht="15" customHeight="1">
      <c r="A21" s="46" t="n"/>
      <c r="B21" s="83" t="n"/>
      <c r="C21" s="46" t="n"/>
      <c r="D21" s="47" t="n"/>
      <c r="E21" s="47" t="n"/>
      <c r="F21" s="47" t="n"/>
      <c r="G21" s="47" t="n"/>
      <c r="H21" s="83" t="n"/>
      <c r="I21" s="83" t="n"/>
      <c r="J21" s="83" t="n"/>
    </row>
    <row r="22" hidden="1" ht="15" customHeight="1">
      <c r="A22" s="46" t="n"/>
      <c r="B22" s="83" t="n"/>
      <c r="C22" s="46" t="n"/>
      <c r="D22" s="47" t="n"/>
      <c r="E22" s="47" t="n"/>
      <c r="F22" s="47" t="n"/>
      <c r="G22" s="47" t="n"/>
      <c r="H22" s="83" t="n"/>
      <c r="I22" s="83" t="n"/>
      <c r="J22" s="83" t="n"/>
    </row>
    <row r="23" hidden="1" ht="15" customHeight="1">
      <c r="A23" s="46" t="n"/>
      <c r="B23" s="83" t="n"/>
      <c r="C23" s="46" t="n"/>
      <c r="D23" s="47" t="n"/>
      <c r="E23" s="47" t="n"/>
      <c r="F23" s="47" t="n"/>
      <c r="G23" s="47" t="n"/>
      <c r="H23" s="83" t="n"/>
      <c r="I23" s="83" t="n"/>
      <c r="J23" s="83" t="n"/>
    </row>
    <row r="24" hidden="1" ht="15" customHeight="1">
      <c r="A24" s="46" t="n"/>
      <c r="B24" s="83" t="n"/>
      <c r="C24" s="46" t="n"/>
      <c r="D24" s="47" t="n"/>
      <c r="E24" s="47" t="n"/>
      <c r="F24" s="47" t="n"/>
      <c r="G24" s="47" t="n"/>
      <c r="H24" s="83" t="n"/>
      <c r="I24" s="83" t="n"/>
      <c r="J24" s="83" t="n"/>
    </row>
    <row r="25" hidden="1" ht="15" customHeight="1">
      <c r="A25" s="46" t="n"/>
      <c r="B25" s="83" t="n"/>
      <c r="C25" s="46" t="n"/>
      <c r="D25" s="47" t="n"/>
      <c r="E25" s="47" t="n"/>
      <c r="F25" s="47" t="n"/>
      <c r="G25" s="47" t="n"/>
      <c r="H25" s="83" t="n"/>
      <c r="I25" s="83" t="n"/>
      <c r="J25" s="83" t="n"/>
    </row>
    <row r="26" hidden="1" ht="15" customHeight="1">
      <c r="A26" s="46" t="n"/>
      <c r="B26" s="83" t="n"/>
      <c r="C26" s="46" t="n"/>
      <c r="D26" s="47" t="n"/>
      <c r="E26" s="47" t="n"/>
      <c r="F26" s="47" t="n"/>
      <c r="G26" s="47" t="n"/>
      <c r="H26" s="83" t="n"/>
      <c r="I26" s="83" t="n"/>
      <c r="J26" s="83" t="n"/>
    </row>
    <row r="27" hidden="1" ht="15" customHeight="1">
      <c r="A27" s="46" t="n"/>
      <c r="B27" s="83" t="n"/>
      <c r="C27" s="46" t="n"/>
      <c r="D27" s="47" t="n"/>
      <c r="E27" s="47" t="n"/>
      <c r="F27" s="47" t="n"/>
      <c r="G27" s="47" t="n"/>
      <c r="H27" s="83" t="n"/>
      <c r="I27" s="83" t="n"/>
      <c r="J27" s="83" t="n"/>
    </row>
    <row r="28" hidden="1" ht="15" customHeight="1">
      <c r="A28" s="46" t="n"/>
      <c r="B28" s="83" t="n"/>
      <c r="C28" s="46" t="n"/>
      <c r="D28" s="47" t="n"/>
      <c r="E28" s="47" t="n"/>
      <c r="F28" s="47" t="n"/>
      <c r="G28" s="47" t="n"/>
      <c r="H28" s="83" t="n"/>
      <c r="I28" s="83" t="n"/>
      <c r="J28" s="83" t="n"/>
    </row>
    <row r="29" hidden="1" ht="15" customHeight="1">
      <c r="A29" s="46" t="n"/>
      <c r="B29" s="83" t="n"/>
      <c r="C29" s="46" t="n"/>
      <c r="D29" s="47" t="n"/>
      <c r="E29" s="47" t="n"/>
      <c r="F29" s="47" t="n"/>
      <c r="G29" s="47" t="n"/>
      <c r="H29" s="83" t="n"/>
      <c r="I29" s="83" t="n"/>
      <c r="J29" s="83" t="n"/>
    </row>
    <row r="30" hidden="1" ht="15" customHeight="1">
      <c r="A30" s="46" t="n"/>
      <c r="B30" s="83" t="n"/>
      <c r="C30" s="46" t="n"/>
      <c r="D30" s="47" t="n"/>
      <c r="E30" s="47" t="n"/>
      <c r="F30" s="47" t="n"/>
      <c r="G30" s="47" t="n"/>
      <c r="H30" s="83" t="n"/>
      <c r="I30" s="83" t="n"/>
      <c r="J30" s="83" t="n"/>
    </row>
    <row r="31" hidden="1" ht="15" customHeight="1">
      <c r="A31" s="46" t="n"/>
      <c r="B31" s="83" t="n"/>
      <c r="C31" s="46" t="n"/>
      <c r="D31" s="47" t="n"/>
      <c r="E31" s="47" t="n"/>
      <c r="F31" s="47" t="n"/>
      <c r="G31" s="47" t="n"/>
      <c r="H31" s="83" t="n"/>
      <c r="I31" s="83" t="n"/>
      <c r="J31" s="83" t="n"/>
    </row>
    <row r="32" hidden="1" ht="15" customHeight="1">
      <c r="A32" s="46" t="n"/>
      <c r="B32" s="83" t="n"/>
      <c r="C32" s="46" t="n"/>
      <c r="D32" s="47" t="n"/>
      <c r="E32" s="47" t="n"/>
      <c r="F32" s="47" t="n"/>
      <c r="G32" s="47" t="n"/>
      <c r="H32" s="83" t="n"/>
      <c r="I32" s="83" t="n"/>
      <c r="J32" s="83" t="n"/>
    </row>
    <row r="33" hidden="1" ht="15" customHeight="1">
      <c r="A33" s="46" t="n"/>
      <c r="B33" s="83" t="n"/>
      <c r="C33" s="46" t="n"/>
      <c r="D33" s="47" t="n"/>
      <c r="E33" s="47" t="n"/>
      <c r="F33" s="47" t="n"/>
      <c r="G33" s="47" t="n"/>
      <c r="H33" s="83" t="n"/>
      <c r="I33" s="83" t="n"/>
      <c r="J33" s="83" t="n"/>
    </row>
    <row r="34" hidden="1" ht="15" customHeight="1">
      <c r="A34" s="46" t="n"/>
      <c r="B34" s="83" t="n"/>
      <c r="C34" s="46" t="n"/>
      <c r="D34" s="47" t="n"/>
      <c r="E34" s="47" t="n"/>
      <c r="F34" s="47" t="n"/>
      <c r="G34" s="47" t="n"/>
      <c r="H34" s="83" t="n"/>
      <c r="I34" s="83" t="n"/>
      <c r="J34" s="83" t="n"/>
    </row>
    <row r="35" hidden="1" ht="15" customHeight="1">
      <c r="A35" s="46" t="n"/>
      <c r="B35" s="83" t="n"/>
      <c r="C35" s="46" t="n"/>
      <c r="D35" s="47" t="n"/>
      <c r="E35" s="47" t="n"/>
      <c r="F35" s="47" t="n"/>
      <c r="G35" s="47" t="n"/>
      <c r="H35" s="83" t="n"/>
      <c r="I35" s="83" t="n"/>
      <c r="J35" s="83" t="n"/>
    </row>
    <row r="36" hidden="1" ht="15" customHeight="1">
      <c r="A36" s="46" t="n"/>
      <c r="B36" s="83" t="n"/>
      <c r="C36" s="46" t="n"/>
      <c r="D36" s="47" t="n"/>
      <c r="E36" s="47" t="n"/>
      <c r="F36" s="47" t="n"/>
      <c r="G36" s="47" t="n"/>
      <c r="H36" s="83" t="n"/>
      <c r="I36" s="83" t="n"/>
      <c r="J36" s="83" t="n"/>
    </row>
    <row r="37" hidden="1" ht="15" customHeight="1">
      <c r="A37" s="46" t="n"/>
      <c r="B37" s="83" t="n"/>
      <c r="C37" s="46" t="n"/>
      <c r="D37" s="47" t="n"/>
      <c r="E37" s="47" t="n"/>
      <c r="F37" s="47" t="n"/>
      <c r="G37" s="47" t="n"/>
      <c r="H37" s="83" t="n"/>
      <c r="I37" s="83" t="n"/>
      <c r="J37" s="83" t="n"/>
    </row>
    <row r="38" hidden="1" ht="15" customHeight="1">
      <c r="A38" s="46" t="n"/>
      <c r="B38" s="83" t="n"/>
      <c r="C38" s="46" t="n"/>
      <c r="D38" s="47" t="n"/>
      <c r="E38" s="47" t="n"/>
      <c r="F38" s="47" t="n"/>
      <c r="G38" s="47" t="n"/>
      <c r="H38" s="83" t="n"/>
      <c r="I38" s="83" t="n"/>
      <c r="J38" s="83" t="n"/>
    </row>
    <row r="39" hidden="1" ht="15" customHeight="1">
      <c r="A39" s="46" t="n"/>
      <c r="B39" s="83" t="n"/>
      <c r="C39" s="46" t="n"/>
      <c r="D39" s="47" t="n"/>
      <c r="E39" s="47" t="n"/>
      <c r="F39" s="47" t="n"/>
      <c r="G39" s="47" t="n"/>
      <c r="H39" s="83" t="n"/>
      <c r="I39" s="83" t="n"/>
      <c r="J39" s="83" t="n"/>
    </row>
    <row r="40" hidden="1" ht="15" customHeight="1">
      <c r="A40" s="46" t="n"/>
      <c r="B40" s="83" t="n"/>
      <c r="C40" s="46" t="n"/>
      <c r="D40" s="47" t="n"/>
      <c r="E40" s="47" t="n"/>
      <c r="F40" s="47" t="n"/>
      <c r="G40" s="47" t="n"/>
      <c r="H40" s="83" t="n"/>
      <c r="I40" s="83" t="n"/>
      <c r="J40" s="83" t="n"/>
    </row>
    <row r="41" hidden="1" ht="15" customHeight="1">
      <c r="A41" s="46" t="n"/>
      <c r="B41" s="83" t="n"/>
      <c r="C41" s="46" t="n"/>
      <c r="D41" s="47" t="n"/>
      <c r="E41" s="47" t="n"/>
      <c r="F41" s="47" t="n"/>
      <c r="G41" s="47" t="n"/>
      <c r="H41" s="83" t="n"/>
      <c r="I41" s="83" t="n"/>
      <c r="J41" s="83" t="n"/>
    </row>
    <row r="42" hidden="1" ht="15" customHeight="1">
      <c r="A42" s="46" t="n"/>
      <c r="B42" s="83" t="n"/>
      <c r="C42" s="46" t="n"/>
      <c r="D42" s="47" t="n"/>
      <c r="E42" s="47" t="n"/>
      <c r="F42" s="47" t="n"/>
      <c r="G42" s="47" t="n"/>
      <c r="H42" s="83" t="n"/>
      <c r="I42" s="83" t="n"/>
      <c r="J42" s="83" t="n"/>
    </row>
    <row r="43" hidden="1" ht="15" customHeight="1">
      <c r="A43" s="46" t="n"/>
      <c r="B43" s="83" t="n"/>
      <c r="C43" s="46" t="n"/>
      <c r="D43" s="47" t="n"/>
      <c r="E43" s="47" t="n"/>
      <c r="F43" s="47" t="n"/>
      <c r="G43" s="47" t="n"/>
      <c r="H43" s="83" t="n"/>
      <c r="I43" s="83" t="n"/>
      <c r="J43" s="83" t="n"/>
    </row>
    <row r="44" hidden="1" ht="15" customHeight="1">
      <c r="A44" s="46" t="n"/>
      <c r="B44" s="83" t="n"/>
      <c r="C44" s="46" t="n"/>
      <c r="D44" s="47" t="n"/>
      <c r="E44" s="47" t="n"/>
      <c r="F44" s="47" t="n"/>
      <c r="G44" s="47" t="n"/>
      <c r="H44" s="83" t="n"/>
      <c r="I44" s="83" t="n"/>
      <c r="J44" s="83" t="n"/>
    </row>
    <row r="45" hidden="1" ht="15" customHeight="1">
      <c r="A45" s="46" t="n"/>
      <c r="B45" s="83" t="n"/>
      <c r="C45" s="46" t="n"/>
      <c r="D45" s="47" t="n"/>
      <c r="E45" s="47" t="n"/>
      <c r="F45" s="47" t="n"/>
      <c r="G45" s="47" t="n"/>
      <c r="H45" s="83" t="n"/>
      <c r="I45" s="83" t="n"/>
      <c r="J45" s="83" t="n"/>
    </row>
    <row r="46" hidden="1" ht="15" customHeight="1">
      <c r="A46" s="46" t="n"/>
      <c r="B46" s="83" t="n"/>
      <c r="C46" s="46" t="n"/>
      <c r="D46" s="47" t="n"/>
      <c r="E46" s="47" t="n"/>
      <c r="F46" s="47" t="n"/>
      <c r="G46" s="47" t="n"/>
      <c r="H46" s="83" t="n"/>
      <c r="I46" s="83" t="n"/>
      <c r="J46" s="83" t="n"/>
    </row>
    <row r="47" hidden="1" ht="15" customHeight="1">
      <c r="A47" s="46" t="n"/>
      <c r="B47" s="83" t="n"/>
      <c r="C47" s="46" t="n"/>
      <c r="D47" s="47" t="n"/>
      <c r="E47" s="47" t="n"/>
      <c r="F47" s="47" t="n"/>
      <c r="G47" s="47" t="n"/>
      <c r="H47" s="83" t="n"/>
      <c r="I47" s="83" t="n"/>
      <c r="J47" s="83" t="n"/>
    </row>
    <row r="48" hidden="1" ht="15" customHeight="1">
      <c r="A48" s="46" t="n"/>
      <c r="B48" s="83" t="n"/>
      <c r="C48" s="46" t="n"/>
      <c r="D48" s="47" t="n"/>
      <c r="E48" s="47" t="n"/>
      <c r="F48" s="47" t="n"/>
      <c r="G48" s="47" t="n"/>
      <c r="H48" s="83" t="n"/>
      <c r="I48" s="83" t="n"/>
      <c r="J48" s="83" t="n"/>
    </row>
    <row r="49" hidden="1" ht="15" customHeight="1">
      <c r="A49" s="46" t="n"/>
      <c r="B49" s="83" t="n"/>
      <c r="C49" s="46" t="n"/>
      <c r="D49" s="47" t="n"/>
      <c r="E49" s="47" t="n"/>
      <c r="F49" s="47" t="n"/>
      <c r="G49" s="47" t="n"/>
      <c r="H49" s="83" t="n"/>
      <c r="I49" s="83" t="n"/>
      <c r="J49" s="83" t="n"/>
    </row>
    <row r="50" hidden="1" ht="15" customHeight="1"/>
  </sheetData>
  <mergeCells count="2">
    <mergeCell ref="A2:K2"/>
    <mergeCell ref="A1:K1"/>
  </mergeCells>
  <conditionalFormatting sqref="H7:H50">
    <cfRule type="expression" priority="2" dxfId="9">
      <formula>$H7="TV1"</formula>
    </cfRule>
    <cfRule type="expression" priority="3" dxfId="8">
      <formula>$H7="TV2"</formula>
    </cfRule>
    <cfRule type="expression" priority="4" dxfId="7">
      <formula>$H7="TV3"</formula>
    </cfRule>
    <cfRule type="expression" priority="5" dxfId="6">
      <formula>$H7="TV4"</formula>
    </cfRule>
    <cfRule type="expression" priority="6" dxfId="5">
      <formula>$H7="TV5"</formula>
    </cfRule>
  </conditionalFormatting>
  <dataValidations count="1">
    <dataValidation sqref="J7:J50" showDropDown="0" showInputMessage="0" showErrorMessage="0" allowBlank="1" type="list">
      <formula1>"Open,In Progress,Done"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A1:Q79"/>
  <sheetViews>
    <sheetView showGridLines="0" zoomScaleNormal="100" workbookViewId="0">
      <pane xSplit="3" ySplit="6" topLeftCell="F7" activePane="bottomRight" state="frozen"/>
      <selection pane="topRight" activeCell="D1" sqref="D1"/>
      <selection pane="bottomLeft" activeCell="A7" sqref="A7"/>
      <selection pane="bottomRight" activeCell="M93" sqref="M93"/>
    </sheetView>
  </sheetViews>
  <sheetFormatPr baseColWidth="8" defaultColWidth="8.69140625" defaultRowHeight="12.45"/>
  <cols>
    <col width="7" customWidth="1" min="1" max="1"/>
    <col width="10" customWidth="1" min="2" max="2"/>
    <col width="12" customWidth="1" min="3" max="3"/>
    <col width="11" customWidth="1" min="4" max="4"/>
    <col width="8" customWidth="1" min="5" max="5"/>
    <col width="40" customWidth="1" min="6" max="6"/>
    <col width="10" customWidth="1" min="7" max="9"/>
    <col width="12" customWidth="1" min="10" max="12"/>
    <col width="38" customWidth="1" min="13" max="14"/>
    <col width="28" customWidth="1" min="15" max="15"/>
    <col width="24" customWidth="1" min="16" max="17"/>
  </cols>
  <sheetData>
    <row r="1" ht="19.5" customHeight="1">
      <c r="A1" s="129" t="inlineStr">
        <is>
          <t>ISSUE / FEEDBACK LOG | Cơ chế phản hồi lỗi, blocker và fix cho teamwork</t>
        </is>
      </c>
    </row>
    <row r="2" ht="15" customHeight="1">
      <c r="A2" s="119" t="inlineStr">
        <is>
          <t>Mỗi issue phải có owner, due fix, người verify và trạng thái. Nếu quá hạn chưa đóng -&gt; cột Escalate tự bật để leader xử lý.</t>
        </is>
      </c>
    </row>
    <row r="6" ht="27.75" customHeight="1">
      <c r="A6" s="82" t="inlineStr">
        <is>
          <t>ID</t>
        </is>
      </c>
      <c r="B6" s="82" t="inlineStr">
        <is>
          <t>Type</t>
        </is>
      </c>
      <c r="C6" s="82" t="inlineStr">
        <is>
          <t>Area</t>
        </is>
      </c>
      <c r="D6" s="82" t="inlineStr">
        <is>
          <t>Date Opened</t>
        </is>
      </c>
      <c r="E6" s="82" t="inlineStr">
        <is>
          <t>Raised By</t>
        </is>
      </c>
      <c r="F6" s="82" t="inlineStr">
        <is>
          <t>Summary</t>
        </is>
      </c>
      <c r="G6" s="82" t="inlineStr">
        <is>
          <t>Linked Task</t>
        </is>
      </c>
      <c r="H6" s="82" t="inlineStr">
        <is>
          <t>Priority</t>
        </is>
      </c>
      <c r="I6" s="82" t="inlineStr">
        <is>
          <t>Owner</t>
        </is>
      </c>
      <c r="J6" s="82" t="inlineStr">
        <is>
          <t>Due Fix</t>
        </is>
      </c>
      <c r="K6" s="82" t="inlineStr">
        <is>
          <t>Verify By</t>
        </is>
      </c>
      <c r="L6" s="82" t="inlineStr">
        <is>
          <t>Status</t>
        </is>
      </c>
      <c r="M6" s="82" t="inlineStr">
        <is>
          <t>Root Cause</t>
        </is>
      </c>
      <c r="N6" s="82" t="inlineStr">
        <is>
          <t>Action Plan</t>
        </is>
      </c>
      <c r="O6" s="82" t="inlineStr">
        <is>
          <t>Resolution / Notes</t>
        </is>
      </c>
    </row>
    <row r="7" ht="24" customHeight="1">
      <c r="A7" s="46" t="inlineStr">
        <is>
          <t>IF01</t>
        </is>
      </c>
      <c r="B7" s="83" t="inlineStr">
        <is>
          <t>Risk</t>
        </is>
      </c>
      <c r="C7" s="83" t="inlineStr">
        <is>
          <t>Data</t>
        </is>
      </c>
      <c r="D7" s="90" t="n">
        <v>46101</v>
      </c>
      <c r="E7" s="83" t="inlineStr">
        <is>
          <t>TV2</t>
        </is>
      </c>
      <c r="F7" s="83" t="n"/>
      <c r="G7" s="83" t="n"/>
      <c r="H7" s="83" t="inlineStr">
        <is>
          <t>Cao</t>
        </is>
      </c>
      <c r="I7" s="83" t="inlineStr">
        <is>
          <t>TV4</t>
        </is>
      </c>
      <c r="J7" s="90" t="n">
        <v>46109</v>
      </c>
      <c r="K7" s="83" t="inlineStr">
        <is>
          <t>TV1</t>
        </is>
      </c>
      <c r="L7" s="83" t="inlineStr">
        <is>
          <t>In Review</t>
        </is>
      </c>
      <c r="M7" s="87" t="n"/>
      <c r="N7" s="87" t="n"/>
      <c r="O7" s="87" t="n"/>
    </row>
    <row r="8" ht="24" customHeight="1">
      <c r="A8" s="46" t="inlineStr">
        <is>
          <t>IF02</t>
        </is>
      </c>
      <c r="B8" s="83" t="inlineStr">
        <is>
          <t>Issue</t>
        </is>
      </c>
      <c r="C8" s="83" t="inlineStr">
        <is>
          <t>Modeling</t>
        </is>
      </c>
      <c r="D8" s="90" t="n">
        <v>46121</v>
      </c>
      <c r="E8" s="83" t="inlineStr">
        <is>
          <t>TV3</t>
        </is>
      </c>
      <c r="F8" s="83" t="n"/>
      <c r="G8" s="83" t="n"/>
      <c r="H8" s="83" t="inlineStr">
        <is>
          <t>Cao</t>
        </is>
      </c>
      <c r="I8" s="83" t="inlineStr">
        <is>
          <t>TV3</t>
        </is>
      </c>
      <c r="J8" s="90" t="n">
        <v>46126</v>
      </c>
      <c r="K8" s="83" t="inlineStr">
        <is>
          <t>TV4</t>
        </is>
      </c>
      <c r="L8" s="83" t="inlineStr">
        <is>
          <t>Open</t>
        </is>
      </c>
      <c r="M8" s="87" t="n"/>
      <c r="N8" s="87" t="n"/>
      <c r="O8" s="87" t="n"/>
    </row>
    <row r="9" ht="24" customHeight="1">
      <c r="A9" s="46" t="inlineStr">
        <is>
          <t>IF03</t>
        </is>
      </c>
      <c r="B9" s="83" t="inlineStr">
        <is>
          <t>Feedback</t>
        </is>
      </c>
      <c r="C9" s="83" t="inlineStr">
        <is>
          <t>Dashboard</t>
        </is>
      </c>
      <c r="D9" s="90" t="n">
        <v>46142</v>
      </c>
      <c r="E9" s="83" t="inlineStr">
        <is>
          <t>TV1</t>
        </is>
      </c>
      <c r="F9" s="83" t="n"/>
      <c r="G9" s="83" t="n"/>
      <c r="H9" s="83" t="inlineStr">
        <is>
          <t>Trung bình</t>
        </is>
      </c>
      <c r="I9" s="83" t="inlineStr">
        <is>
          <t>TV5</t>
        </is>
      </c>
      <c r="J9" s="90" t="n">
        <v>46146</v>
      </c>
      <c r="K9" s="83" t="inlineStr">
        <is>
          <t>TV1</t>
        </is>
      </c>
      <c r="L9" s="83" t="inlineStr">
        <is>
          <t>Open</t>
        </is>
      </c>
      <c r="M9" s="87" t="n"/>
      <c r="N9" s="87" t="n"/>
      <c r="O9" s="87" t="n"/>
    </row>
    <row r="10" ht="24" customHeight="1">
      <c r="A10" s="46" t="n"/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7" t="n"/>
      <c r="N10" s="87" t="n"/>
      <c r="O10" s="87" t="n"/>
    </row>
    <row r="11" ht="24" customHeight="1">
      <c r="A11" s="46" t="n"/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7" t="n"/>
      <c r="N11" s="87" t="n"/>
      <c r="O11" s="87" t="n"/>
    </row>
    <row r="12" ht="24" customHeight="1">
      <c r="A12" s="46" t="n"/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7" t="n"/>
      <c r="N12" s="87" t="n"/>
      <c r="O12" s="87" t="n"/>
    </row>
    <row r="13" ht="24" customHeight="1">
      <c r="A13" s="46" t="n"/>
      <c r="B13" s="83" t="n"/>
      <c r="C13" s="83" t="n"/>
      <c r="D13" s="83" t="n"/>
      <c r="E13" s="83" t="n"/>
      <c r="F13" s="83" t="n"/>
      <c r="G13" s="83" t="n"/>
      <c r="H13" s="83" t="n"/>
      <c r="I13" s="83" t="n"/>
      <c r="J13" s="83" t="n"/>
      <c r="K13" s="83" t="n"/>
      <c r="L13" s="83" t="n"/>
      <c r="M13" s="87" t="n"/>
      <c r="N13" s="87" t="n"/>
      <c r="O13" s="87" t="n"/>
    </row>
    <row r="14" ht="24" customHeight="1">
      <c r="A14" s="46" t="n"/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7" t="n"/>
      <c r="N14" s="87" t="n"/>
      <c r="O14" s="87" t="n"/>
    </row>
    <row r="15" hidden="1" ht="15" customHeight="1">
      <c r="A15" s="46" t="n"/>
      <c r="B15" s="83" t="n"/>
      <c r="C15" s="83" t="n"/>
      <c r="D15" s="83" t="n"/>
      <c r="E15" s="83" t="n"/>
      <c r="F15" s="47" t="n"/>
      <c r="G15" s="46" t="n"/>
      <c r="H15" s="83" t="n"/>
      <c r="I15" s="83" t="n"/>
      <c r="J15" s="83" t="n"/>
      <c r="K15" s="83" t="n"/>
      <c r="L15" s="83" t="n"/>
      <c r="M15" s="87" t="n"/>
      <c r="N15" s="87" t="n"/>
      <c r="O15" s="87" t="n"/>
    </row>
    <row r="16" hidden="1" ht="15" customHeight="1">
      <c r="A16" s="46" t="n"/>
      <c r="B16" s="83" t="n"/>
      <c r="C16" s="83" t="n"/>
      <c r="D16" s="83" t="n"/>
      <c r="E16" s="83" t="n"/>
      <c r="F16" s="47" t="n"/>
      <c r="G16" s="46" t="n"/>
      <c r="H16" s="83" t="n"/>
      <c r="I16" s="83" t="n"/>
      <c r="J16" s="83" t="n"/>
      <c r="K16" s="83" t="n"/>
      <c r="L16" s="83" t="n"/>
      <c r="M16" s="87" t="n"/>
      <c r="N16" s="87" t="n"/>
      <c r="O16" s="87" t="n"/>
    </row>
    <row r="17" hidden="1" ht="15" customHeight="1">
      <c r="A17" s="46" t="n"/>
      <c r="B17" s="83" t="n"/>
      <c r="C17" s="83" t="n"/>
      <c r="D17" s="83" t="n"/>
      <c r="E17" s="83" t="n"/>
      <c r="F17" s="47" t="n"/>
      <c r="G17" s="46" t="n"/>
      <c r="H17" s="83" t="n"/>
      <c r="I17" s="83" t="n"/>
      <c r="J17" s="83" t="n"/>
      <c r="K17" s="83" t="n"/>
      <c r="L17" s="83" t="n"/>
      <c r="M17" s="87" t="n"/>
      <c r="N17" s="87" t="n"/>
      <c r="O17" s="87" t="n"/>
    </row>
    <row r="18" hidden="1" ht="15" customHeight="1">
      <c r="A18" s="46" t="n"/>
      <c r="B18" s="83" t="n"/>
      <c r="C18" s="83" t="n"/>
      <c r="D18" s="83" t="n"/>
      <c r="E18" s="83" t="n"/>
      <c r="F18" s="47" t="n"/>
      <c r="G18" s="46" t="n"/>
      <c r="H18" s="83" t="n"/>
      <c r="I18" s="83" t="n"/>
      <c r="J18" s="83" t="n"/>
      <c r="K18" s="83" t="n"/>
      <c r="L18" s="83" t="n"/>
      <c r="M18" s="87" t="n"/>
      <c r="N18" s="87" t="n"/>
      <c r="O18" s="87" t="n"/>
    </row>
    <row r="19" hidden="1" ht="15" customHeight="1">
      <c r="A19" s="46" t="n"/>
      <c r="B19" s="83" t="n"/>
      <c r="C19" s="83" t="n"/>
      <c r="D19" s="83" t="n"/>
      <c r="E19" s="83" t="n"/>
      <c r="F19" s="47" t="n"/>
      <c r="G19" s="46" t="n"/>
      <c r="H19" s="83" t="n"/>
      <c r="I19" s="83" t="n"/>
      <c r="J19" s="83" t="n"/>
      <c r="K19" s="83" t="n"/>
      <c r="L19" s="83" t="n"/>
      <c r="M19" s="87" t="n"/>
      <c r="N19" s="87" t="n"/>
      <c r="O19" s="87" t="n"/>
    </row>
    <row r="20" hidden="1" ht="15" customHeight="1">
      <c r="A20" s="46" t="n"/>
      <c r="B20" s="83" t="n"/>
      <c r="C20" s="83" t="n"/>
      <c r="D20" s="83" t="n"/>
      <c r="E20" s="83" t="n"/>
      <c r="F20" s="47" t="n"/>
      <c r="G20" s="46" t="n"/>
      <c r="H20" s="83" t="n"/>
      <c r="I20" s="83" t="n"/>
      <c r="J20" s="83" t="n"/>
      <c r="K20" s="83" t="n"/>
      <c r="L20" s="83" t="n"/>
      <c r="M20" s="87" t="n"/>
      <c r="N20" s="87" t="n"/>
      <c r="O20" s="87" t="n"/>
    </row>
    <row r="21" hidden="1" ht="15" customHeight="1">
      <c r="A21" s="46" t="n"/>
      <c r="B21" s="83" t="n"/>
      <c r="C21" s="83" t="n"/>
      <c r="D21" s="83" t="n"/>
      <c r="E21" s="83" t="n"/>
      <c r="F21" s="47" t="n"/>
      <c r="G21" s="46" t="n"/>
      <c r="H21" s="83" t="n"/>
      <c r="I21" s="83" t="n"/>
      <c r="J21" s="83" t="n"/>
      <c r="K21" s="83" t="n"/>
      <c r="L21" s="83" t="n"/>
      <c r="M21" s="87" t="n"/>
      <c r="N21" s="87" t="n"/>
      <c r="O21" s="87" t="n"/>
    </row>
    <row r="22" hidden="1" ht="15" customHeight="1">
      <c r="A22" s="46" t="n"/>
      <c r="B22" s="83" t="n"/>
      <c r="C22" s="83" t="n"/>
      <c r="D22" s="83" t="n"/>
      <c r="E22" s="83" t="n"/>
      <c r="F22" s="47" t="n"/>
      <c r="G22" s="46" t="n"/>
      <c r="H22" s="83" t="n"/>
      <c r="I22" s="83" t="n"/>
      <c r="J22" s="83" t="n"/>
      <c r="K22" s="83" t="n"/>
      <c r="L22" s="83" t="n"/>
      <c r="M22" s="87" t="n"/>
      <c r="N22" s="87" t="n"/>
      <c r="O22" s="87" t="n"/>
    </row>
    <row r="23" hidden="1" ht="15" customHeight="1">
      <c r="A23" s="46" t="n"/>
      <c r="B23" s="83" t="n"/>
      <c r="C23" s="83" t="n"/>
      <c r="D23" s="83" t="n"/>
      <c r="E23" s="83" t="n"/>
      <c r="F23" s="47" t="n"/>
      <c r="G23" s="46" t="n"/>
      <c r="H23" s="83" t="n"/>
      <c r="I23" s="83" t="n"/>
      <c r="J23" s="83" t="n"/>
      <c r="K23" s="83" t="n"/>
      <c r="L23" s="83" t="n"/>
      <c r="M23" s="87" t="n"/>
      <c r="N23" s="87" t="n"/>
      <c r="O23" s="87" t="n"/>
    </row>
    <row r="24" hidden="1" ht="15" customHeight="1">
      <c r="A24" s="46" t="n"/>
      <c r="B24" s="83" t="n"/>
      <c r="C24" s="83" t="n"/>
      <c r="D24" s="83" t="n"/>
      <c r="E24" s="83" t="n"/>
      <c r="F24" s="47" t="n"/>
      <c r="G24" s="46" t="n"/>
      <c r="H24" s="83" t="n"/>
      <c r="I24" s="83" t="n"/>
      <c r="J24" s="83" t="n"/>
      <c r="K24" s="83" t="n"/>
      <c r="L24" s="83" t="n"/>
      <c r="M24" s="87" t="n"/>
      <c r="N24" s="87" t="n"/>
      <c r="O24" s="87" t="n"/>
    </row>
    <row r="25" hidden="1" ht="15" customHeight="1">
      <c r="A25" s="46" t="n"/>
      <c r="B25" s="83" t="n"/>
      <c r="C25" s="83" t="n"/>
      <c r="D25" s="83" t="n"/>
      <c r="E25" s="83" t="n"/>
      <c r="F25" s="47" t="n"/>
      <c r="G25" s="46" t="n"/>
      <c r="H25" s="83" t="n"/>
      <c r="I25" s="83" t="n"/>
      <c r="J25" s="83" t="n"/>
      <c r="K25" s="83" t="n"/>
      <c r="L25" s="83" t="n"/>
      <c r="M25" s="87" t="n"/>
      <c r="N25" s="87" t="n"/>
      <c r="O25" s="87" t="n"/>
    </row>
    <row r="26" hidden="1" ht="15" customHeight="1">
      <c r="A26" s="46" t="n"/>
      <c r="B26" s="83" t="n"/>
      <c r="C26" s="83" t="n"/>
      <c r="D26" s="83" t="n"/>
      <c r="E26" s="83" t="n"/>
      <c r="F26" s="47" t="n"/>
      <c r="G26" s="46" t="n"/>
      <c r="H26" s="83" t="n"/>
      <c r="I26" s="83" t="n"/>
      <c r="J26" s="83" t="n"/>
      <c r="K26" s="83" t="n"/>
      <c r="L26" s="83" t="n"/>
      <c r="M26" s="87" t="n"/>
      <c r="N26" s="87" t="n"/>
      <c r="O26" s="87" t="n"/>
    </row>
    <row r="27" hidden="1" ht="15" customHeight="1">
      <c r="A27" s="46" t="n"/>
      <c r="B27" s="83" t="n"/>
      <c r="C27" s="83" t="n"/>
      <c r="D27" s="83" t="n"/>
      <c r="E27" s="83" t="n"/>
      <c r="F27" s="47" t="n"/>
      <c r="G27" s="46" t="n"/>
      <c r="H27" s="83" t="n"/>
      <c r="I27" s="83" t="n"/>
      <c r="J27" s="83" t="n"/>
      <c r="K27" s="83" t="n"/>
      <c r="L27" s="83" t="n"/>
      <c r="M27" s="87" t="n"/>
      <c r="N27" s="87" t="n"/>
      <c r="O27" s="87" t="n"/>
    </row>
    <row r="28" hidden="1" ht="15" customHeight="1">
      <c r="A28" s="46" t="n"/>
      <c r="B28" s="83" t="n"/>
      <c r="C28" s="83" t="n"/>
      <c r="D28" s="83" t="n"/>
      <c r="E28" s="83" t="n"/>
      <c r="F28" s="47" t="n"/>
      <c r="G28" s="46" t="n"/>
      <c r="H28" s="83" t="n"/>
      <c r="I28" s="83" t="n"/>
      <c r="J28" s="83" t="n"/>
      <c r="K28" s="83" t="n"/>
      <c r="L28" s="83" t="n"/>
      <c r="M28" s="87" t="n"/>
      <c r="N28" s="87" t="n"/>
      <c r="O28" s="87" t="n"/>
    </row>
    <row r="29" hidden="1" ht="15" customHeight="1">
      <c r="A29" s="46" t="n"/>
      <c r="B29" s="83" t="n"/>
      <c r="C29" s="83" t="n"/>
      <c r="D29" s="83" t="n"/>
      <c r="E29" s="83" t="n"/>
      <c r="F29" s="47" t="n"/>
      <c r="G29" s="46" t="n"/>
      <c r="H29" s="83" t="n"/>
      <c r="I29" s="83" t="n"/>
      <c r="J29" s="83" t="n"/>
      <c r="K29" s="83" t="n"/>
      <c r="L29" s="83" t="n"/>
      <c r="M29" s="87" t="n"/>
      <c r="N29" s="87" t="n"/>
      <c r="O29" s="87" t="n"/>
    </row>
    <row r="30" hidden="1" ht="15" customHeight="1">
      <c r="A30" s="46" t="n"/>
      <c r="B30" s="83" t="n"/>
      <c r="C30" s="83" t="n"/>
      <c r="D30" s="83" t="n"/>
      <c r="E30" s="83" t="n"/>
      <c r="F30" s="47" t="n"/>
      <c r="G30" s="46" t="n"/>
      <c r="H30" s="83" t="n"/>
      <c r="I30" s="83" t="n"/>
      <c r="J30" s="83" t="n"/>
      <c r="K30" s="83" t="n"/>
      <c r="L30" s="83" t="n"/>
      <c r="M30" s="87" t="n"/>
      <c r="N30" s="87" t="n"/>
      <c r="O30" s="87" t="n"/>
    </row>
    <row r="31" hidden="1" ht="15" customHeight="1">
      <c r="A31" s="46" t="n"/>
      <c r="B31" s="83" t="n"/>
      <c r="C31" s="83" t="n"/>
      <c r="D31" s="83" t="n"/>
      <c r="E31" s="83" t="n"/>
      <c r="F31" s="47" t="n"/>
      <c r="G31" s="46" t="n"/>
      <c r="H31" s="83" t="n"/>
      <c r="I31" s="83" t="n"/>
      <c r="J31" s="83" t="n"/>
      <c r="K31" s="83" t="n"/>
      <c r="L31" s="83" t="n"/>
      <c r="M31" s="87" t="n"/>
      <c r="N31" s="87" t="n"/>
      <c r="O31" s="87" t="n"/>
    </row>
    <row r="32" hidden="1" ht="15" customHeight="1">
      <c r="A32" s="46" t="n"/>
      <c r="B32" s="83" t="n"/>
      <c r="C32" s="83" t="n"/>
      <c r="D32" s="83" t="n"/>
      <c r="E32" s="83" t="n"/>
      <c r="F32" s="47" t="n"/>
      <c r="G32" s="46" t="n"/>
      <c r="H32" s="83" t="n"/>
      <c r="I32" s="83" t="n"/>
      <c r="J32" s="83" t="n"/>
      <c r="K32" s="83" t="n"/>
      <c r="L32" s="83" t="n"/>
      <c r="M32" s="87" t="n"/>
      <c r="N32" s="87" t="n"/>
      <c r="O32" s="87" t="n"/>
    </row>
    <row r="33" hidden="1" ht="15" customHeight="1">
      <c r="A33" s="46" t="n"/>
      <c r="B33" s="83" t="n"/>
      <c r="C33" s="83" t="n"/>
      <c r="D33" s="83" t="n"/>
      <c r="E33" s="83" t="n"/>
      <c r="F33" s="47" t="n"/>
      <c r="G33" s="46" t="n"/>
      <c r="H33" s="83" t="n"/>
      <c r="I33" s="83" t="n"/>
      <c r="J33" s="83" t="n"/>
      <c r="K33" s="83" t="n"/>
      <c r="L33" s="83" t="n"/>
      <c r="M33" s="87" t="n"/>
      <c r="N33" s="87" t="n"/>
      <c r="O33" s="87" t="n"/>
    </row>
    <row r="34" hidden="1" ht="15" customHeight="1">
      <c r="A34" s="46" t="n"/>
      <c r="B34" s="83" t="n"/>
      <c r="C34" s="83" t="n"/>
      <c r="D34" s="83" t="n"/>
      <c r="E34" s="83" t="n"/>
      <c r="F34" s="47" t="n"/>
      <c r="G34" s="46" t="n"/>
      <c r="H34" s="83" t="n"/>
      <c r="I34" s="83" t="n"/>
      <c r="J34" s="83" t="n"/>
      <c r="K34" s="83" t="n"/>
      <c r="L34" s="83" t="n"/>
      <c r="M34" s="87" t="n"/>
      <c r="N34" s="87" t="n"/>
      <c r="O34" s="87" t="n"/>
    </row>
    <row r="35" hidden="1" ht="15" customHeight="1">
      <c r="A35" s="46" t="n"/>
      <c r="B35" s="83" t="n"/>
      <c r="C35" s="83" t="n"/>
      <c r="D35" s="83" t="n"/>
      <c r="E35" s="83" t="n"/>
      <c r="F35" s="47" t="n"/>
      <c r="G35" s="46" t="n"/>
      <c r="H35" s="83" t="n"/>
      <c r="I35" s="83" t="n"/>
      <c r="J35" s="83" t="n"/>
      <c r="K35" s="83" t="n"/>
      <c r="L35" s="83" t="n"/>
      <c r="M35" s="87" t="n"/>
      <c r="N35" s="87" t="n"/>
      <c r="O35" s="87" t="n"/>
    </row>
    <row r="36" hidden="1" ht="15" customHeight="1">
      <c r="A36" s="46" t="n"/>
      <c r="B36" s="83" t="n"/>
      <c r="C36" s="83" t="n"/>
      <c r="D36" s="83" t="n"/>
      <c r="E36" s="83" t="n"/>
      <c r="F36" s="47" t="n"/>
      <c r="G36" s="46" t="n"/>
      <c r="H36" s="83" t="n"/>
      <c r="I36" s="83" t="n"/>
      <c r="J36" s="83" t="n"/>
      <c r="K36" s="83" t="n"/>
      <c r="L36" s="83" t="n"/>
      <c r="M36" s="87" t="n"/>
      <c r="N36" s="87" t="n"/>
      <c r="O36" s="87" t="n"/>
    </row>
    <row r="37" hidden="1" ht="15" customHeight="1">
      <c r="A37" s="46" t="n"/>
      <c r="B37" s="83" t="n"/>
      <c r="C37" s="83" t="n"/>
      <c r="D37" s="83" t="n"/>
      <c r="E37" s="83" t="n"/>
      <c r="F37" s="47" t="n"/>
      <c r="G37" s="46" t="n"/>
      <c r="H37" s="83" t="n"/>
      <c r="I37" s="83" t="n"/>
      <c r="J37" s="83" t="n"/>
      <c r="K37" s="83" t="n"/>
      <c r="L37" s="83" t="n"/>
      <c r="M37" s="87" t="n"/>
      <c r="N37" s="87" t="n"/>
      <c r="O37" s="87" t="n"/>
    </row>
    <row r="38" hidden="1" ht="15" customHeight="1">
      <c r="A38" s="46" t="n"/>
      <c r="B38" s="83" t="n"/>
      <c r="C38" s="83" t="n"/>
      <c r="D38" s="83" t="n"/>
      <c r="E38" s="83" t="n"/>
      <c r="F38" s="47" t="n"/>
      <c r="G38" s="46" t="n"/>
      <c r="H38" s="83" t="n"/>
      <c r="I38" s="83" t="n"/>
      <c r="J38" s="83" t="n"/>
      <c r="K38" s="83" t="n"/>
      <c r="L38" s="83" t="n"/>
      <c r="M38" s="87" t="n"/>
      <c r="N38" s="87" t="n"/>
      <c r="O38" s="87" t="n"/>
    </row>
    <row r="39" hidden="1" ht="15" customHeight="1">
      <c r="A39" s="46" t="n"/>
      <c r="B39" s="83" t="n"/>
      <c r="C39" s="83" t="n"/>
      <c r="D39" s="83" t="n"/>
      <c r="E39" s="83" t="n"/>
      <c r="F39" s="47" t="n"/>
      <c r="G39" s="46" t="n"/>
      <c r="H39" s="83" t="n"/>
      <c r="I39" s="83" t="n"/>
      <c r="J39" s="83" t="n"/>
      <c r="K39" s="83" t="n"/>
      <c r="L39" s="83" t="n"/>
      <c r="M39" s="87" t="n"/>
      <c r="N39" s="87" t="n"/>
      <c r="O39" s="87" t="n"/>
    </row>
    <row r="40" hidden="1" ht="15" customHeight="1">
      <c r="A40" s="46" t="n"/>
      <c r="B40" s="83" t="n"/>
      <c r="C40" s="83" t="n"/>
      <c r="D40" s="83" t="n"/>
      <c r="E40" s="83" t="n"/>
      <c r="F40" s="47" t="n"/>
      <c r="G40" s="46" t="n"/>
      <c r="H40" s="83" t="n"/>
      <c r="I40" s="83" t="n"/>
      <c r="J40" s="83" t="n"/>
      <c r="K40" s="83" t="n"/>
      <c r="L40" s="83" t="n"/>
      <c r="M40" s="87" t="n"/>
      <c r="N40" s="87" t="n"/>
      <c r="O40" s="87" t="n"/>
    </row>
    <row r="41" hidden="1" ht="15" customHeight="1">
      <c r="A41" s="46" t="n"/>
      <c r="B41" s="83" t="n"/>
      <c r="C41" s="83" t="n"/>
      <c r="D41" s="83" t="n"/>
      <c r="E41" s="83" t="n"/>
      <c r="F41" s="47" t="n"/>
      <c r="G41" s="46" t="n"/>
      <c r="H41" s="83" t="n"/>
      <c r="I41" s="83" t="n"/>
      <c r="J41" s="83" t="n"/>
      <c r="K41" s="83" t="n"/>
      <c r="L41" s="83" t="n"/>
      <c r="M41" s="87" t="n"/>
      <c r="N41" s="87" t="n"/>
      <c r="O41" s="87" t="n"/>
    </row>
    <row r="42" hidden="1" ht="15" customHeight="1">
      <c r="A42" s="46" t="n"/>
      <c r="B42" s="83" t="n"/>
      <c r="C42" s="83" t="n"/>
      <c r="D42" s="83" t="n"/>
      <c r="E42" s="83" t="n"/>
      <c r="F42" s="47" t="n"/>
      <c r="G42" s="46" t="n"/>
      <c r="H42" s="83" t="n"/>
      <c r="I42" s="83" t="n"/>
      <c r="J42" s="83" t="n"/>
      <c r="K42" s="83" t="n"/>
      <c r="L42" s="83" t="n"/>
      <c r="M42" s="87" t="n"/>
      <c r="N42" s="87" t="n"/>
      <c r="O42" s="87" t="n"/>
    </row>
    <row r="43" hidden="1" ht="15" customHeight="1">
      <c r="A43" s="46" t="n"/>
      <c r="B43" s="83" t="n"/>
      <c r="C43" s="83" t="n"/>
      <c r="D43" s="83" t="n"/>
      <c r="E43" s="83" t="n"/>
      <c r="F43" s="47" t="n"/>
      <c r="G43" s="46" t="n"/>
      <c r="H43" s="83" t="n"/>
      <c r="I43" s="83" t="n"/>
      <c r="J43" s="83" t="n"/>
      <c r="K43" s="83" t="n"/>
      <c r="L43" s="83" t="n"/>
      <c r="M43" s="87" t="n"/>
      <c r="N43" s="87" t="n"/>
      <c r="O43" s="87" t="n"/>
    </row>
    <row r="44" hidden="1" ht="15" customHeight="1">
      <c r="A44" s="46" t="n"/>
      <c r="B44" s="83" t="n"/>
      <c r="C44" s="83" t="n"/>
      <c r="D44" s="83" t="n"/>
      <c r="E44" s="83" t="n"/>
      <c r="F44" s="47" t="n"/>
      <c r="G44" s="46" t="n"/>
      <c r="H44" s="83" t="n"/>
      <c r="I44" s="83" t="n"/>
      <c r="J44" s="83" t="n"/>
      <c r="K44" s="83" t="n"/>
      <c r="L44" s="83" t="n"/>
      <c r="M44" s="87" t="n"/>
      <c r="N44" s="87" t="n"/>
      <c r="O44" s="87" t="n"/>
    </row>
    <row r="45" hidden="1" ht="15" customHeight="1">
      <c r="A45" s="46" t="n"/>
      <c r="B45" s="83" t="n"/>
      <c r="C45" s="83" t="n"/>
      <c r="D45" s="83" t="n"/>
      <c r="E45" s="83" t="n"/>
      <c r="F45" s="47" t="n"/>
      <c r="G45" s="46" t="n"/>
      <c r="H45" s="83" t="n"/>
      <c r="I45" s="83" t="n"/>
      <c r="J45" s="83" t="n"/>
      <c r="K45" s="83" t="n"/>
      <c r="L45" s="83" t="n"/>
      <c r="M45" s="87" t="n"/>
      <c r="N45" s="87" t="n"/>
      <c r="O45" s="87" t="n"/>
    </row>
    <row r="46" hidden="1" ht="15" customHeight="1">
      <c r="A46" s="46" t="n"/>
      <c r="B46" s="83" t="n"/>
      <c r="C46" s="83" t="n"/>
      <c r="D46" s="83" t="n"/>
      <c r="E46" s="83" t="n"/>
      <c r="F46" s="47" t="n"/>
      <c r="G46" s="46" t="n"/>
      <c r="H46" s="83" t="n"/>
      <c r="I46" s="83" t="n"/>
      <c r="J46" s="83" t="n"/>
      <c r="K46" s="83" t="n"/>
      <c r="L46" s="83" t="n"/>
      <c r="M46" s="87" t="n"/>
      <c r="N46" s="87" t="n"/>
      <c r="O46" s="87" t="n"/>
    </row>
    <row r="47" hidden="1" ht="15" customHeight="1">
      <c r="A47" s="46" t="n"/>
      <c r="B47" s="83" t="n"/>
      <c r="C47" s="83" t="n"/>
      <c r="D47" s="83" t="n"/>
      <c r="E47" s="83" t="n"/>
      <c r="F47" s="47" t="n"/>
      <c r="G47" s="46" t="n"/>
      <c r="H47" s="83" t="n"/>
      <c r="I47" s="83" t="n"/>
      <c r="J47" s="83" t="n"/>
      <c r="K47" s="83" t="n"/>
      <c r="L47" s="83" t="n"/>
      <c r="M47" s="87" t="n"/>
      <c r="N47" s="87" t="n"/>
      <c r="O47" s="87" t="n"/>
    </row>
    <row r="48" hidden="1" ht="15" customHeight="1">
      <c r="A48" s="46" t="n"/>
      <c r="B48" s="83" t="n"/>
      <c r="C48" s="83" t="n"/>
      <c r="D48" s="83" t="n"/>
      <c r="E48" s="83" t="n"/>
      <c r="F48" s="47" t="n"/>
      <c r="G48" s="46" t="n"/>
      <c r="H48" s="83" t="n"/>
      <c r="I48" s="83" t="n"/>
      <c r="J48" s="83" t="n"/>
      <c r="K48" s="83" t="n"/>
      <c r="L48" s="83" t="n"/>
      <c r="M48" s="87" t="n"/>
      <c r="N48" s="87" t="n"/>
      <c r="O48" s="87" t="n"/>
    </row>
    <row r="49" hidden="1" ht="15" customHeight="1">
      <c r="A49" s="46" t="n"/>
      <c r="B49" s="83" t="n"/>
      <c r="C49" s="83" t="n"/>
      <c r="D49" s="83" t="n"/>
      <c r="E49" s="83" t="n"/>
      <c r="F49" s="47" t="n"/>
      <c r="G49" s="46" t="n"/>
      <c r="H49" s="83" t="n"/>
      <c r="I49" s="83" t="n"/>
      <c r="J49" s="83" t="n"/>
      <c r="K49" s="83" t="n"/>
      <c r="L49" s="83" t="n"/>
      <c r="M49" s="87" t="n"/>
      <c r="N49" s="87" t="n"/>
      <c r="O49" s="87" t="n"/>
    </row>
    <row r="50" hidden="1" ht="15" customHeight="1">
      <c r="A50" s="46" t="n"/>
      <c r="B50" s="83" t="n"/>
      <c r="C50" s="83" t="n"/>
      <c r="D50" s="83" t="n"/>
      <c r="E50" s="83" t="n"/>
      <c r="F50" s="47" t="n"/>
      <c r="G50" s="46" t="n"/>
      <c r="H50" s="83" t="n"/>
      <c r="I50" s="83" t="n"/>
      <c r="J50" s="83" t="n"/>
      <c r="K50" s="83" t="n"/>
      <c r="L50" s="83" t="n"/>
      <c r="M50" s="87" t="n"/>
      <c r="N50" s="87" t="n"/>
      <c r="O50" s="87" t="n"/>
    </row>
    <row r="51" hidden="1" ht="15" customHeight="1">
      <c r="A51" s="46" t="n"/>
      <c r="B51" s="83" t="n"/>
      <c r="C51" s="83" t="n"/>
      <c r="D51" s="83" t="n"/>
      <c r="E51" s="83" t="n"/>
      <c r="F51" s="47" t="n"/>
      <c r="G51" s="46" t="n"/>
      <c r="H51" s="83" t="n"/>
      <c r="I51" s="83" t="n"/>
      <c r="J51" s="83" t="n"/>
      <c r="K51" s="83" t="n"/>
      <c r="L51" s="83" t="n"/>
      <c r="M51" s="87" t="n"/>
      <c r="N51" s="87" t="n"/>
      <c r="O51" s="87" t="n"/>
    </row>
    <row r="52" hidden="1" ht="15" customHeight="1">
      <c r="A52" s="46" t="n"/>
      <c r="B52" s="83" t="n"/>
      <c r="C52" s="83" t="n"/>
      <c r="D52" s="83" t="n"/>
      <c r="E52" s="83" t="n"/>
      <c r="F52" s="47" t="n"/>
      <c r="G52" s="46" t="n"/>
      <c r="H52" s="83" t="n"/>
      <c r="I52" s="83" t="n"/>
      <c r="J52" s="83" t="n"/>
      <c r="K52" s="83" t="n"/>
      <c r="L52" s="83" t="n"/>
      <c r="M52" s="87" t="n"/>
      <c r="N52" s="87" t="n"/>
      <c r="O52" s="87" t="n"/>
    </row>
    <row r="53" hidden="1" ht="15" customHeight="1">
      <c r="A53" s="46" t="n"/>
      <c r="B53" s="83" t="n"/>
      <c r="C53" s="83" t="n"/>
      <c r="D53" s="83" t="n"/>
      <c r="E53" s="83" t="n"/>
      <c r="F53" s="47" t="n"/>
      <c r="G53" s="46" t="n"/>
      <c r="H53" s="83" t="n"/>
      <c r="I53" s="83" t="n"/>
      <c r="J53" s="83" t="n"/>
      <c r="K53" s="83" t="n"/>
      <c r="L53" s="83" t="n"/>
      <c r="M53" s="87" t="n"/>
      <c r="N53" s="87" t="n"/>
      <c r="O53" s="87" t="n"/>
    </row>
    <row r="54" hidden="1" ht="15" customHeight="1">
      <c r="A54" s="46" t="n"/>
      <c r="B54" s="83" t="n"/>
      <c r="C54" s="83" t="n"/>
      <c r="D54" s="83" t="n"/>
      <c r="E54" s="83" t="n"/>
      <c r="F54" s="47" t="n"/>
      <c r="G54" s="46" t="n"/>
      <c r="H54" s="83" t="n"/>
      <c r="I54" s="83" t="n"/>
      <c r="J54" s="83" t="n"/>
      <c r="K54" s="83" t="n"/>
      <c r="L54" s="83" t="n"/>
      <c r="M54" s="87" t="n"/>
      <c r="N54" s="87" t="n"/>
      <c r="O54" s="87" t="n"/>
    </row>
    <row r="55" hidden="1" ht="15" customHeight="1">
      <c r="A55" s="46" t="n"/>
      <c r="B55" s="83" t="n"/>
      <c r="C55" s="83" t="n"/>
      <c r="D55" s="83" t="n"/>
      <c r="E55" s="83" t="n"/>
      <c r="F55" s="47" t="n"/>
      <c r="G55" s="46" t="n"/>
      <c r="H55" s="83" t="n"/>
      <c r="I55" s="83" t="n"/>
      <c r="J55" s="83" t="n"/>
      <c r="K55" s="83" t="n"/>
      <c r="L55" s="83" t="n"/>
      <c r="M55" s="87" t="n"/>
      <c r="N55" s="87" t="n"/>
      <c r="O55" s="87" t="n"/>
    </row>
    <row r="56" hidden="1" ht="15" customHeight="1">
      <c r="A56" s="46" t="n"/>
      <c r="B56" s="83" t="n"/>
      <c r="C56" s="83" t="n"/>
      <c r="D56" s="83" t="n"/>
      <c r="E56" s="83" t="n"/>
      <c r="F56" s="47" t="n"/>
      <c r="G56" s="46" t="n"/>
      <c r="H56" s="83" t="n"/>
      <c r="I56" s="83" t="n"/>
      <c r="J56" s="83" t="n"/>
      <c r="K56" s="83" t="n"/>
      <c r="L56" s="83" t="n"/>
      <c r="M56" s="87" t="n"/>
      <c r="N56" s="87" t="n"/>
      <c r="O56" s="87" t="n"/>
    </row>
    <row r="57" hidden="1" ht="15" customHeight="1">
      <c r="A57" s="46" t="n"/>
      <c r="B57" s="83" t="n"/>
      <c r="C57" s="83" t="n"/>
      <c r="D57" s="83" t="n"/>
      <c r="E57" s="83" t="n"/>
      <c r="F57" s="47" t="n"/>
      <c r="G57" s="46" t="n"/>
      <c r="H57" s="83" t="n"/>
      <c r="I57" s="83" t="n"/>
      <c r="J57" s="83" t="n"/>
      <c r="K57" s="83" t="n"/>
      <c r="L57" s="83" t="n"/>
      <c r="M57" s="87" t="n"/>
      <c r="N57" s="87" t="n"/>
      <c r="O57" s="87" t="n"/>
    </row>
    <row r="58" hidden="1" ht="15" customHeight="1">
      <c r="A58" s="46" t="n"/>
      <c r="B58" s="83" t="n"/>
      <c r="C58" s="83" t="n"/>
      <c r="D58" s="83" t="n"/>
      <c r="E58" s="83" t="n"/>
      <c r="F58" s="47" t="n"/>
      <c r="G58" s="46" t="n"/>
      <c r="H58" s="83" t="n"/>
      <c r="I58" s="83" t="n"/>
      <c r="J58" s="83" t="n"/>
      <c r="K58" s="83" t="n"/>
      <c r="L58" s="83" t="n"/>
      <c r="M58" s="87" t="n"/>
      <c r="N58" s="87" t="n"/>
      <c r="O58" s="87" t="n"/>
    </row>
    <row r="59" hidden="1" ht="15" customHeight="1">
      <c r="A59" s="46" t="n"/>
      <c r="B59" s="83" t="n"/>
      <c r="C59" s="83" t="n"/>
      <c r="D59" s="83" t="n"/>
      <c r="E59" s="83" t="n"/>
      <c r="F59" s="47" t="n"/>
      <c r="G59" s="46" t="n"/>
      <c r="H59" s="83" t="n"/>
      <c r="I59" s="83" t="n"/>
      <c r="J59" s="83" t="n"/>
      <c r="K59" s="83" t="n"/>
      <c r="L59" s="83" t="n"/>
      <c r="M59" s="87" t="n"/>
      <c r="N59" s="87" t="n"/>
      <c r="O59" s="87" t="n"/>
    </row>
    <row r="60" hidden="1" ht="15" customHeight="1">
      <c r="A60" s="46" t="n"/>
      <c r="B60" s="83" t="n"/>
      <c r="C60" s="83" t="n"/>
      <c r="D60" s="83" t="n"/>
      <c r="E60" s="83" t="n"/>
      <c r="F60" s="47" t="n"/>
      <c r="G60" s="46" t="n"/>
      <c r="H60" s="83" t="n"/>
      <c r="I60" s="83" t="n"/>
      <c r="J60" s="83" t="n"/>
      <c r="K60" s="83" t="n"/>
      <c r="L60" s="83" t="n"/>
      <c r="M60" s="87" t="n"/>
      <c r="N60" s="87" t="n"/>
      <c r="O60" s="87" t="n"/>
    </row>
    <row r="61" hidden="1" ht="15" customHeight="1">
      <c r="A61" s="46" t="n"/>
      <c r="B61" s="83" t="n"/>
      <c r="C61" s="83" t="n"/>
      <c r="D61" s="83" t="n"/>
      <c r="E61" s="83" t="n"/>
      <c r="F61" s="47" t="n"/>
      <c r="G61" s="46" t="n"/>
      <c r="H61" s="83" t="n"/>
      <c r="I61" s="83" t="n"/>
      <c r="J61" s="83" t="n"/>
      <c r="K61" s="83" t="n"/>
      <c r="L61" s="83" t="n"/>
      <c r="M61" s="87" t="n"/>
      <c r="N61" s="87" t="n"/>
      <c r="O61" s="87" t="n"/>
    </row>
    <row r="62" hidden="1" ht="15" customHeight="1">
      <c r="A62" s="46" t="n"/>
      <c r="B62" s="83" t="n"/>
      <c r="C62" s="83" t="n"/>
      <c r="D62" s="83" t="n"/>
      <c r="E62" s="83" t="n"/>
      <c r="F62" s="47" t="n"/>
      <c r="G62" s="46" t="n"/>
      <c r="H62" s="83" t="n"/>
      <c r="I62" s="83" t="n"/>
      <c r="J62" s="83" t="n"/>
      <c r="K62" s="83" t="n"/>
      <c r="L62" s="83" t="n"/>
      <c r="M62" s="87" t="n"/>
      <c r="N62" s="87" t="n"/>
      <c r="O62" s="87" t="n"/>
    </row>
    <row r="63" hidden="1" ht="15" customHeight="1">
      <c r="A63" s="46" t="n"/>
      <c r="B63" s="83" t="n"/>
      <c r="C63" s="83" t="n"/>
      <c r="D63" s="83" t="n"/>
      <c r="E63" s="83" t="n"/>
      <c r="F63" s="47" t="n"/>
      <c r="G63" s="46" t="n"/>
      <c r="H63" s="83" t="n"/>
      <c r="I63" s="83" t="n"/>
      <c r="J63" s="83" t="n"/>
      <c r="K63" s="83" t="n"/>
      <c r="L63" s="83" t="n"/>
      <c r="M63" s="87" t="n"/>
      <c r="N63" s="87" t="n"/>
      <c r="O63" s="87" t="n"/>
    </row>
    <row r="64" hidden="1" ht="15" customHeight="1">
      <c r="A64" s="46" t="n"/>
      <c r="B64" s="83" t="n"/>
      <c r="C64" s="83" t="n"/>
      <c r="D64" s="83" t="n"/>
      <c r="E64" s="83" t="n"/>
      <c r="F64" s="47" t="n"/>
      <c r="G64" s="46" t="n"/>
      <c r="H64" s="83" t="n"/>
      <c r="I64" s="83" t="n"/>
      <c r="J64" s="83" t="n"/>
      <c r="K64" s="83" t="n"/>
      <c r="L64" s="83" t="n"/>
      <c r="M64" s="87" t="n"/>
      <c r="N64" s="87" t="n"/>
      <c r="O64" s="87" t="n"/>
    </row>
    <row r="65" hidden="1" ht="15" customHeight="1">
      <c r="A65" s="46" t="n"/>
      <c r="B65" s="83" t="n"/>
      <c r="C65" s="83" t="n"/>
      <c r="D65" s="83" t="n"/>
      <c r="E65" s="83" t="n"/>
      <c r="F65" s="47" t="n"/>
      <c r="G65" s="46" t="n"/>
      <c r="H65" s="83" t="n"/>
      <c r="I65" s="83" t="n"/>
      <c r="J65" s="83" t="n"/>
      <c r="K65" s="83" t="n"/>
      <c r="L65" s="83" t="n"/>
      <c r="M65" s="87" t="n"/>
      <c r="N65" s="87" t="n"/>
      <c r="O65" s="87" t="n"/>
    </row>
    <row r="66" hidden="1" ht="15" customHeight="1">
      <c r="A66" s="46" t="n"/>
      <c r="B66" s="83" t="n"/>
      <c r="C66" s="83" t="n"/>
      <c r="D66" s="83" t="n"/>
      <c r="E66" s="83" t="n"/>
      <c r="F66" s="47" t="n"/>
      <c r="G66" s="46" t="n"/>
      <c r="H66" s="83" t="n"/>
      <c r="I66" s="83" t="n"/>
      <c r="J66" s="83" t="n"/>
      <c r="K66" s="83" t="n"/>
      <c r="L66" s="83" t="n"/>
      <c r="M66" s="87" t="n"/>
      <c r="N66" s="87" t="n"/>
      <c r="O66" s="87" t="n"/>
    </row>
    <row r="67" hidden="1" ht="15" customHeight="1">
      <c r="A67" s="46" t="n"/>
      <c r="B67" s="83" t="n"/>
      <c r="C67" s="83" t="n"/>
      <c r="D67" s="83" t="n"/>
      <c r="E67" s="83" t="n"/>
      <c r="F67" s="47" t="n"/>
      <c r="G67" s="46" t="n"/>
      <c r="H67" s="83" t="n"/>
      <c r="I67" s="83" t="n"/>
      <c r="J67" s="83" t="n"/>
      <c r="K67" s="83" t="n"/>
      <c r="L67" s="83" t="n"/>
      <c r="M67" s="87" t="n"/>
      <c r="N67" s="87" t="n"/>
      <c r="O67" s="87" t="n"/>
    </row>
    <row r="68" hidden="1" ht="15" customHeight="1">
      <c r="A68" s="46" t="n"/>
      <c r="B68" s="83" t="n"/>
      <c r="C68" s="83" t="n"/>
      <c r="D68" s="83" t="n"/>
      <c r="E68" s="83" t="n"/>
      <c r="F68" s="47" t="n"/>
      <c r="G68" s="46" t="n"/>
      <c r="H68" s="83" t="n"/>
      <c r="I68" s="83" t="n"/>
      <c r="J68" s="83" t="n"/>
      <c r="K68" s="83" t="n"/>
      <c r="L68" s="83" t="n"/>
      <c r="M68" s="87" t="n"/>
      <c r="N68" s="87" t="n"/>
      <c r="O68" s="87" t="n"/>
    </row>
    <row r="69" hidden="1" ht="15" customHeight="1">
      <c r="A69" s="46" t="n"/>
      <c r="B69" s="83" t="n"/>
      <c r="C69" s="83" t="n"/>
      <c r="D69" s="83" t="n"/>
      <c r="E69" s="83" t="n"/>
      <c r="F69" s="47" t="n"/>
      <c r="G69" s="46" t="n"/>
      <c r="H69" s="83" t="n"/>
      <c r="I69" s="83" t="n"/>
      <c r="J69" s="83" t="n"/>
      <c r="K69" s="83" t="n"/>
      <c r="L69" s="83" t="n"/>
      <c r="M69" s="87" t="n"/>
      <c r="N69" s="87" t="n"/>
      <c r="O69" s="87" t="n"/>
    </row>
    <row r="70" hidden="1" ht="15" customHeight="1">
      <c r="A70" s="46" t="n"/>
      <c r="B70" s="83" t="n"/>
      <c r="C70" s="83" t="n"/>
      <c r="D70" s="83" t="n"/>
      <c r="E70" s="83" t="n"/>
      <c r="F70" s="47" t="n"/>
      <c r="G70" s="46" t="n"/>
      <c r="H70" s="83" t="n"/>
      <c r="I70" s="83" t="n"/>
      <c r="J70" s="83" t="n"/>
      <c r="K70" s="83" t="n"/>
      <c r="L70" s="83" t="n"/>
      <c r="M70" s="87" t="n"/>
      <c r="N70" s="87" t="n"/>
      <c r="O70" s="87" t="n"/>
    </row>
    <row r="71" hidden="1" ht="15" customHeight="1">
      <c r="A71" s="46" t="n"/>
      <c r="B71" s="83" t="n"/>
      <c r="C71" s="83" t="n"/>
      <c r="D71" s="83" t="n"/>
      <c r="E71" s="83" t="n"/>
      <c r="F71" s="47" t="n"/>
      <c r="G71" s="46" t="n"/>
      <c r="H71" s="83" t="n"/>
      <c r="I71" s="83" t="n"/>
      <c r="J71" s="83" t="n"/>
      <c r="K71" s="83" t="n"/>
      <c r="L71" s="83" t="n"/>
      <c r="M71" s="87" t="n"/>
      <c r="N71" s="87" t="n"/>
      <c r="O71" s="87" t="n"/>
    </row>
    <row r="72" hidden="1" ht="15" customHeight="1">
      <c r="A72" s="46" t="n"/>
      <c r="B72" s="83" t="n"/>
      <c r="C72" s="83" t="n"/>
      <c r="D72" s="83" t="n"/>
      <c r="E72" s="83" t="n"/>
      <c r="F72" s="47" t="n"/>
      <c r="G72" s="46" t="n"/>
      <c r="H72" s="83" t="n"/>
      <c r="I72" s="83" t="n"/>
      <c r="J72" s="83" t="n"/>
      <c r="K72" s="83" t="n"/>
      <c r="L72" s="83" t="n"/>
      <c r="M72" s="87" t="n"/>
      <c r="N72" s="87" t="n"/>
      <c r="O72" s="87" t="n"/>
    </row>
    <row r="73" hidden="1" ht="15" customHeight="1">
      <c r="A73" s="46" t="n"/>
      <c r="B73" s="83" t="n"/>
      <c r="C73" s="83" t="n"/>
      <c r="D73" s="83" t="n"/>
      <c r="E73" s="83" t="n"/>
      <c r="F73" s="47" t="n"/>
      <c r="G73" s="46" t="n"/>
      <c r="H73" s="83" t="n"/>
      <c r="I73" s="83" t="n"/>
      <c r="J73" s="83" t="n"/>
      <c r="K73" s="83" t="n"/>
      <c r="L73" s="83" t="n"/>
      <c r="M73" s="87" t="n"/>
      <c r="N73" s="87" t="n"/>
      <c r="O73" s="87" t="n"/>
    </row>
    <row r="74" hidden="1" ht="15" customHeight="1">
      <c r="A74" s="46" t="n"/>
      <c r="B74" s="83" t="n"/>
      <c r="C74" s="83" t="n"/>
      <c r="D74" s="83" t="n"/>
      <c r="E74" s="83" t="n"/>
      <c r="F74" s="47" t="n"/>
      <c r="G74" s="46" t="n"/>
      <c r="H74" s="83" t="n"/>
      <c r="I74" s="83" t="n"/>
      <c r="J74" s="83" t="n"/>
      <c r="K74" s="83" t="n"/>
      <c r="L74" s="83" t="n"/>
      <c r="M74" s="87" t="n"/>
      <c r="N74" s="87" t="n"/>
      <c r="O74" s="87" t="n"/>
    </row>
    <row r="75" hidden="1" ht="15" customHeight="1">
      <c r="A75" s="46" t="n"/>
      <c r="B75" s="83" t="n"/>
      <c r="C75" s="83" t="n"/>
      <c r="D75" s="83" t="n"/>
      <c r="E75" s="83" t="n"/>
      <c r="F75" s="47" t="n"/>
      <c r="G75" s="46" t="n"/>
      <c r="H75" s="83" t="n"/>
      <c r="I75" s="83" t="n"/>
      <c r="J75" s="83" t="n"/>
      <c r="K75" s="83" t="n"/>
      <c r="L75" s="83" t="n"/>
      <c r="M75" s="87" t="n"/>
      <c r="N75" s="87" t="n"/>
      <c r="O75" s="87" t="n"/>
    </row>
    <row r="76" hidden="1" ht="15" customHeight="1">
      <c r="A76" s="46" t="n"/>
      <c r="B76" s="83" t="n"/>
      <c r="C76" s="83" t="n"/>
      <c r="D76" s="83" t="n"/>
      <c r="E76" s="83" t="n"/>
      <c r="F76" s="47" t="n"/>
      <c r="G76" s="46" t="n"/>
      <c r="H76" s="83" t="n"/>
      <c r="I76" s="83" t="n"/>
      <c r="J76" s="83" t="n"/>
      <c r="K76" s="83" t="n"/>
      <c r="L76" s="83" t="n"/>
      <c r="M76" s="87" t="n"/>
      <c r="N76" s="87" t="n"/>
      <c r="O76" s="87" t="n"/>
    </row>
    <row r="77" hidden="1" ht="15" customHeight="1">
      <c r="A77" s="46" t="n"/>
      <c r="B77" s="83" t="n"/>
      <c r="C77" s="83" t="n"/>
      <c r="D77" s="83" t="n"/>
      <c r="E77" s="83" t="n"/>
      <c r="F77" s="47" t="n"/>
      <c r="G77" s="46" t="n"/>
      <c r="H77" s="83" t="n"/>
      <c r="I77" s="83" t="n"/>
      <c r="J77" s="83" t="n"/>
      <c r="K77" s="83" t="n"/>
      <c r="L77" s="83" t="n"/>
      <c r="M77" s="87" t="n"/>
      <c r="N77" s="87" t="n"/>
      <c r="O77" s="87" t="n"/>
    </row>
    <row r="78" hidden="1" ht="15" customHeight="1">
      <c r="A78" s="46" t="n"/>
      <c r="B78" s="83" t="n"/>
      <c r="C78" s="83" t="n"/>
      <c r="D78" s="83" t="n"/>
      <c r="E78" s="83" t="n"/>
      <c r="F78" s="47" t="n"/>
      <c r="G78" s="46" t="n"/>
      <c r="H78" s="83" t="n"/>
      <c r="I78" s="83" t="n"/>
      <c r="J78" s="83" t="n"/>
      <c r="K78" s="83" t="n"/>
      <c r="L78" s="83" t="n"/>
      <c r="M78" s="87" t="n"/>
      <c r="N78" s="87" t="n"/>
      <c r="O78" s="87" t="n"/>
    </row>
    <row r="79" hidden="1" ht="15" customHeight="1">
      <c r="A79" s="46" t="n"/>
      <c r="B79" s="83" t="n"/>
      <c r="C79" s="83" t="n"/>
      <c r="D79" s="83" t="n"/>
      <c r="E79" s="83" t="n"/>
      <c r="F79" s="47" t="n"/>
      <c r="G79" s="46" t="n"/>
      <c r="H79" s="83" t="n"/>
      <c r="I79" s="83" t="n"/>
      <c r="J79" s="83" t="n"/>
      <c r="K79" s="83" t="n"/>
      <c r="L79" s="83" t="n"/>
      <c r="M79" s="87" t="n"/>
      <c r="N79" s="87" t="n"/>
      <c r="O79" s="87" t="n"/>
    </row>
    <row r="80" hidden="1" ht="15" customHeight="1"/>
  </sheetData>
  <mergeCells count="2">
    <mergeCell ref="A2:Q2"/>
    <mergeCell ref="A1:Q1"/>
  </mergeCells>
  <conditionalFormatting sqref="A7:O80">
    <cfRule type="expression" priority="16" dxfId="0">
      <formula>$L7="Closed"</formula>
    </cfRule>
  </conditionalFormatting>
  <conditionalFormatting sqref="E7:E80">
    <cfRule type="expression" priority="11" dxfId="9">
      <formula>$E7="TV1"</formula>
    </cfRule>
    <cfRule type="expression" priority="12" dxfId="8">
      <formula>$E7="TV2"</formula>
    </cfRule>
    <cfRule type="expression" priority="13" dxfId="7">
      <formula>$E7="TV3"</formula>
    </cfRule>
    <cfRule type="expression" priority="14" dxfId="6">
      <formula>$E7="TV4"</formula>
    </cfRule>
    <cfRule type="expression" priority="15" dxfId="5">
      <formula>$E7="TV5"</formula>
    </cfRule>
  </conditionalFormatting>
  <conditionalFormatting sqref="I7:I80">
    <cfRule type="expression" priority="6" dxfId="9">
      <formula>$I7="TV1"</formula>
    </cfRule>
    <cfRule type="expression" priority="7" dxfId="8">
      <formula>$I7="TV2"</formula>
    </cfRule>
    <cfRule type="expression" priority="8" dxfId="7">
      <formula>$I7="TV3"</formula>
    </cfRule>
    <cfRule type="expression" priority="9" dxfId="6">
      <formula>$I7="TV4"</formula>
    </cfRule>
    <cfRule type="expression" priority="10" dxfId="5">
      <formula>$I7="TV5"</formula>
    </cfRule>
  </conditionalFormatting>
  <conditionalFormatting sqref="L7:L80">
    <cfRule type="expression" priority="2" dxfId="4">
      <formula>$L7="Open"</formula>
    </cfRule>
    <cfRule type="expression" priority="3" dxfId="3">
      <formula>$L7="In Review"</formula>
    </cfRule>
    <cfRule type="expression" priority="4" dxfId="2">
      <formula>$L7="Closed"</formula>
    </cfRule>
    <cfRule type="expression" priority="5" dxfId="1">
      <formula>$L7="Deferred"</formula>
    </cfRule>
  </conditionalFormatting>
  <dataValidations count="2">
    <dataValidation sqref="B7:B80" showDropDown="0" showInputMessage="0" showErrorMessage="0" allowBlank="1" type="list">
      <formula1>"Risk,Issue,Bug,Feedback,Decision"</formula1>
      <formula2>0</formula2>
    </dataValidation>
    <dataValidation sqref="L7:L80" showDropDown="0" showInputMessage="0" showErrorMessage="0" allowBlank="1" promptTitle="Status" prompt="Chọn trạng thái issue" type="list">
      <formula1>"Open,In Review,Closed,Deferred"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4F81BD"/>
    <outlinePr summaryBelow="1" summaryRight="1"/>
    <pageSetUpPr/>
  </sheetPr>
  <dimension ref="A1:L30"/>
  <sheetViews>
    <sheetView showGridLines="0" zoomScaleNormal="100" workbookViewId="0">
      <selection activeCell="A2" sqref="A2:I2"/>
    </sheetView>
  </sheetViews>
  <sheetFormatPr baseColWidth="8" defaultColWidth="8.69140625" defaultRowHeight="12.45"/>
  <cols>
    <col width="20" customWidth="1" min="1" max="1"/>
    <col width="34" customWidth="1" min="2" max="2"/>
    <col width="14" customWidth="1" min="3" max="9"/>
  </cols>
  <sheetData>
    <row r="1" ht="30" customHeight="1">
      <c r="A1" s="130" t="inlineStr">
        <is>
          <t>CONFIG | Điều khiển dự án cho leader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59" t="n"/>
      <c r="K1" s="59" t="n"/>
      <c r="L1" s="59" t="n"/>
    </row>
    <row r="2" ht="21.75" customHeight="1">
      <c r="A2" s="131" t="n"/>
      <c r="J2" s="59" t="n"/>
      <c r="K2" s="59" t="n"/>
      <c r="L2" s="59" t="n"/>
    </row>
    <row r="3" ht="21.75" customHeight="1">
      <c r="A3" s="132" t="inlineStr">
        <is>
          <t>Core Inputs</t>
        </is>
      </c>
      <c r="B3" s="166" t="n"/>
      <c r="C3" s="59" t="n"/>
      <c r="D3" s="133" t="inlineStr">
        <is>
          <t>Priority List</t>
        </is>
      </c>
      <c r="E3" s="166" t="n"/>
      <c r="F3" s="133" t="inlineStr">
        <is>
          <t>Task Status List</t>
        </is>
      </c>
      <c r="G3" s="166" t="n"/>
      <c r="H3" s="133" t="inlineStr">
        <is>
          <t>Member Codes</t>
        </is>
      </c>
      <c r="I3" s="166" t="n"/>
      <c r="J3" s="59" t="n"/>
      <c r="K3" s="59" t="n"/>
      <c r="L3" s="59" t="n"/>
    </row>
    <row r="4" ht="33.75" customHeight="1">
      <c r="A4" s="91" t="inlineStr">
        <is>
          <t>Project Name</t>
        </is>
      </c>
      <c r="B4" s="92" t="inlineStr">
        <is>
          <t>Fraud Detection Project Tracker (PaySim + IEEE-CIS + Multi-model)</t>
        </is>
      </c>
      <c r="C4" s="59" t="n"/>
      <c r="D4" s="93" t="inlineStr">
        <is>
          <t>Cao</t>
        </is>
      </c>
      <c r="E4" s="59" t="n"/>
      <c r="F4" s="94" t="inlineStr">
        <is>
          <t>Chưa bắt đầu</t>
        </is>
      </c>
      <c r="G4" s="59" t="n"/>
      <c r="H4" s="95" t="inlineStr">
        <is>
          <t>TV1</t>
        </is>
      </c>
      <c r="I4" s="59" t="n"/>
      <c r="J4" s="59" t="n"/>
      <c r="K4" s="59" t="n"/>
      <c r="L4" s="59" t="n"/>
    </row>
    <row r="5" ht="21.75" customHeight="1">
      <c r="A5" s="91" t="inlineStr">
        <is>
          <t>Report Date</t>
        </is>
      </c>
      <c r="B5" s="96" t="n">
        <v>46102</v>
      </c>
      <c r="C5" s="59" t="n"/>
      <c r="D5" s="93" t="inlineStr">
        <is>
          <t>Trung bình</t>
        </is>
      </c>
      <c r="E5" s="59" t="n"/>
      <c r="F5" s="94" t="inlineStr">
        <is>
          <t>Sắp đến hạn</t>
        </is>
      </c>
      <c r="G5" s="59" t="n"/>
      <c r="H5" s="95" t="inlineStr">
        <is>
          <t>TV2</t>
        </is>
      </c>
      <c r="I5" s="59" t="n"/>
      <c r="J5" s="59" t="n"/>
      <c r="K5" s="59" t="n"/>
      <c r="L5" s="59" t="n"/>
    </row>
    <row r="6" ht="21.75" customHeight="1">
      <c r="A6" s="91" t="inlineStr">
        <is>
          <t>Project Start</t>
        </is>
      </c>
      <c r="B6" s="96" t="n">
        <v>46102</v>
      </c>
      <c r="C6" s="59" t="n"/>
      <c r="D6" s="93" t="inlineStr">
        <is>
          <t>Thấp</t>
        </is>
      </c>
      <c r="E6" s="59" t="n"/>
      <c r="F6" s="94" t="inlineStr">
        <is>
          <t>Đang thực hiện</t>
        </is>
      </c>
      <c r="G6" s="59" t="n"/>
      <c r="H6" s="95" t="inlineStr">
        <is>
          <t>TV3</t>
        </is>
      </c>
      <c r="I6" s="59" t="n"/>
      <c r="J6" s="59" t="n"/>
      <c r="K6" s="59" t="n"/>
      <c r="L6" s="59" t="n"/>
    </row>
    <row r="7" ht="21.75" customHeight="1">
      <c r="A7" s="91" t="inlineStr">
        <is>
          <t>Project End</t>
        </is>
      </c>
      <c r="B7" s="97">
        <f>B6+(B8*7)-1</f>
        <v/>
      </c>
      <c r="C7" s="59" t="n"/>
      <c r="D7" s="98" t="n"/>
      <c r="E7" s="59" t="n"/>
      <c r="F7" s="94" t="inlineStr">
        <is>
          <t>Hoàn thành</t>
        </is>
      </c>
      <c r="G7" s="59" t="n"/>
      <c r="H7" s="95" t="inlineStr">
        <is>
          <t>TV4</t>
        </is>
      </c>
      <c r="I7" s="59" t="n"/>
      <c r="J7" s="59" t="n"/>
      <c r="K7" s="59" t="n"/>
      <c r="L7" s="59" t="n"/>
    </row>
    <row r="8" ht="21.75" customHeight="1">
      <c r="A8" s="91" t="inlineStr">
        <is>
          <t>Sprint Length (weeks)</t>
        </is>
      </c>
      <c r="B8" s="99" t="n">
        <v>8</v>
      </c>
      <c r="C8" s="59" t="n"/>
      <c r="D8" s="100" t="inlineStr">
        <is>
          <t>Health cue</t>
        </is>
      </c>
      <c r="E8" s="101" t="inlineStr">
        <is>
          <t>Xanh</t>
        </is>
      </c>
      <c r="F8" s="102" t="inlineStr">
        <is>
          <t>Blocked? List</t>
        </is>
      </c>
      <c r="G8" s="101" t="inlineStr">
        <is>
          <t>Không</t>
        </is>
      </c>
      <c r="H8" s="100" t="inlineStr">
        <is>
          <t>Issue status</t>
        </is>
      </c>
      <c r="I8" s="103" t="inlineStr">
        <is>
          <t>Open</t>
        </is>
      </c>
      <c r="J8" s="59" t="n"/>
      <c r="K8" s="59" t="n"/>
      <c r="L8" s="59" t="n"/>
    </row>
    <row r="9" ht="21.75" customHeight="1">
      <c r="A9" s="59" t="n"/>
      <c r="B9" s="59" t="n"/>
      <c r="C9" s="59" t="n"/>
      <c r="D9" s="98" t="n"/>
      <c r="E9" s="59" t="n"/>
      <c r="F9" s="94" t="inlineStr">
        <is>
          <t>Không</t>
        </is>
      </c>
      <c r="G9" s="59" t="n"/>
      <c r="H9" s="98" t="n"/>
      <c r="I9" s="101" t="inlineStr">
        <is>
          <t>Closed</t>
        </is>
      </c>
      <c r="J9" s="59" t="n"/>
      <c r="K9" s="59" t="n"/>
      <c r="L9" s="59" t="n"/>
    </row>
    <row r="10" ht="21.75" customHeight="1">
      <c r="A10" s="59" t="n"/>
      <c r="B10" s="59" t="n"/>
      <c r="C10" s="59" t="n"/>
      <c r="D10" s="59" t="n"/>
      <c r="E10" s="59" t="n"/>
      <c r="F10" s="59" t="inlineStr">
        <is>
          <t>Có</t>
        </is>
      </c>
      <c r="G10" s="59" t="n"/>
      <c r="H10" s="59" t="n"/>
      <c r="I10" s="104" t="inlineStr">
        <is>
          <t>Deferred</t>
        </is>
      </c>
      <c r="J10" s="59" t="n"/>
      <c r="K10" s="59" t="n"/>
      <c r="L10" s="59" t="n"/>
    </row>
    <row r="11" ht="21.75" customHeight="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inlineStr">
        <is>
          <t>In Review</t>
        </is>
      </c>
      <c r="J11" s="59" t="n"/>
      <c r="K11" s="59" t="n"/>
      <c r="L11" s="59" t="n"/>
    </row>
    <row r="12" ht="21.75" customHeight="1">
      <c r="A12" s="134" t="inlineStr">
        <is>
          <t>Weekly Calendar (auto from Project Start)</t>
        </is>
      </c>
      <c r="B12" s="165" t="n"/>
      <c r="C12" s="165" t="n"/>
      <c r="D12" s="165" t="n"/>
      <c r="E12" s="165" t="n"/>
      <c r="F12" s="165" t="n"/>
      <c r="G12" s="165" t="n"/>
      <c r="H12" s="165" t="n"/>
      <c r="I12" s="166" t="n"/>
      <c r="J12" s="59" t="n"/>
      <c r="K12" s="59" t="n"/>
      <c r="L12" s="59" t="n"/>
    </row>
    <row r="13" ht="21.75" customHeight="1">
      <c r="A13" s="91" t="inlineStr">
        <is>
          <t>Week start</t>
        </is>
      </c>
      <c r="B13" s="105">
        <f>$B$6+0</f>
        <v/>
      </c>
      <c r="C13" s="105">
        <f>$B$6+7</f>
        <v/>
      </c>
      <c r="D13" s="105">
        <f>$B$6+14</f>
        <v/>
      </c>
      <c r="E13" s="105">
        <f>$B$6+21</f>
        <v/>
      </c>
      <c r="F13" s="105">
        <f>$B$6+28</f>
        <v/>
      </c>
      <c r="G13" s="105">
        <f>$B$6+35</f>
        <v/>
      </c>
      <c r="H13" s="105">
        <f>$B$6+42</f>
        <v/>
      </c>
      <c r="I13" s="105">
        <f>$B$6+49</f>
        <v/>
      </c>
      <c r="J13" s="59" t="n"/>
      <c r="K13" s="59" t="n"/>
      <c r="L13" s="59" t="n"/>
    </row>
    <row r="14" ht="21.75" customHeight="1">
      <c r="A14" s="91" t="inlineStr">
        <is>
          <t>Week end</t>
        </is>
      </c>
      <c r="B14" s="105">
        <f>B13+6</f>
        <v/>
      </c>
      <c r="C14" s="105">
        <f>C13+6</f>
        <v/>
      </c>
      <c r="D14" s="105">
        <f>D13+6</f>
        <v/>
      </c>
      <c r="E14" s="105">
        <f>E13+6</f>
        <v/>
      </c>
      <c r="F14" s="105">
        <f>F13+6</f>
        <v/>
      </c>
      <c r="G14" s="105">
        <f>G13+6</f>
        <v/>
      </c>
      <c r="H14" s="105">
        <f>H13+6</f>
        <v/>
      </c>
      <c r="I14" s="105">
        <f>I13+6</f>
        <v/>
      </c>
      <c r="J14" s="59" t="n"/>
      <c r="K14" s="59" t="n"/>
      <c r="L14" s="59" t="n"/>
    </row>
    <row r="15" ht="21.75" customHeight="1">
      <c r="A15" s="91" t="inlineStr">
        <is>
          <t>Week</t>
        </is>
      </c>
      <c r="B15" s="106" t="inlineStr">
        <is>
          <t>W1</t>
        </is>
      </c>
      <c r="C15" s="106" t="inlineStr">
        <is>
          <t>W2</t>
        </is>
      </c>
      <c r="D15" s="106" t="inlineStr">
        <is>
          <t>W3</t>
        </is>
      </c>
      <c r="E15" s="106" t="inlineStr">
        <is>
          <t>W4</t>
        </is>
      </c>
      <c r="F15" s="106" t="inlineStr">
        <is>
          <t>W5</t>
        </is>
      </c>
      <c r="G15" s="106" t="inlineStr">
        <is>
          <t>W6</t>
        </is>
      </c>
      <c r="H15" s="106" t="inlineStr">
        <is>
          <t>W7</t>
        </is>
      </c>
      <c r="I15" s="106" t="inlineStr">
        <is>
          <t>W8</t>
        </is>
      </c>
      <c r="J15" s="59" t="n"/>
      <c r="K15" s="59" t="n"/>
      <c r="L15" s="59" t="n"/>
    </row>
    <row r="16" ht="21.75" customHeight="1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</row>
    <row r="17" ht="21.75" customHeight="1">
      <c r="A17" s="132" t="inlineStr">
        <is>
          <t>How to use</t>
        </is>
      </c>
      <c r="B17" s="165" t="n"/>
      <c r="C17" s="165" t="n"/>
      <c r="D17" s="165" t="n"/>
      <c r="E17" s="165" t="n"/>
      <c r="F17" s="165" t="n"/>
      <c r="G17" s="165" t="n"/>
      <c r="H17" s="165" t="n"/>
      <c r="I17" s="166" t="n"/>
      <c r="J17" s="59" t="n"/>
      <c r="K17" s="59" t="n"/>
      <c r="L17" s="59" t="n"/>
    </row>
    <row r="18" ht="21.75" customHeight="1">
      <c r="A18" s="135" t="inlineStr">
        <is>
          <t>1) Đổi Report Date để xem trạng thái tại ngày hiện tại.
2) Đổi Project Start nếu toàn bộ lịch dời; Project End và Weekly Calendar tự tính.
3) Không nhập tiến độ tại đây; chỉ cập nhật trong TASK_BOARD.</t>
        </is>
      </c>
      <c r="B18" s="175" t="n"/>
      <c r="C18" s="175" t="n"/>
      <c r="D18" s="175" t="n"/>
      <c r="E18" s="175" t="n"/>
      <c r="F18" s="175" t="n"/>
      <c r="G18" s="175" t="n"/>
      <c r="H18" s="175" t="n"/>
      <c r="I18" s="176" t="n"/>
      <c r="J18" s="59" t="n"/>
      <c r="K18" s="59" t="n"/>
      <c r="L18" s="59" t="n"/>
    </row>
    <row r="19" ht="21.75" customHeight="1">
      <c r="A19" s="177" t="n"/>
      <c r="I19" s="178" t="n"/>
      <c r="J19" s="59" t="n"/>
      <c r="K19" s="59" t="n"/>
      <c r="L19" s="59" t="n"/>
    </row>
    <row r="20" ht="21.75" customHeight="1">
      <c r="A20" s="179" t="n"/>
      <c r="B20" s="173" t="n"/>
      <c r="C20" s="173" t="n"/>
      <c r="D20" s="173" t="n"/>
      <c r="E20" s="173" t="n"/>
      <c r="F20" s="173" t="n"/>
      <c r="G20" s="173" t="n"/>
      <c r="H20" s="173" t="n"/>
      <c r="I20" s="180" t="n"/>
      <c r="J20" s="59" t="n"/>
      <c r="K20" s="59" t="n"/>
      <c r="L20" s="59" t="n"/>
    </row>
    <row r="21" ht="21.75" customHeight="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</row>
    <row r="22" ht="15" customHeight="1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</row>
    <row r="23" ht="15" customHeight="1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</row>
    <row r="24" ht="15" customHeight="1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</row>
    <row r="25" ht="15" customHeight="1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</row>
    <row r="26" ht="15" customHeight="1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</row>
    <row r="27" ht="15" customHeight="1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</row>
    <row r="28" ht="15" customHeight="1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</row>
    <row r="29" ht="15" customHeight="1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</row>
    <row r="30" ht="15" customHeight="1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</row>
  </sheetData>
  <mergeCells count="9">
    <mergeCell ref="F3:G3"/>
    <mergeCell ref="A2:I2"/>
    <mergeCell ref="A18:I20"/>
    <mergeCell ref="A17:I17"/>
    <mergeCell ref="A1:I1"/>
    <mergeCell ref="A12:I12"/>
    <mergeCell ref="D3:E3"/>
    <mergeCell ref="A3:B3"/>
    <mergeCell ref="H3:I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2026-03-21T02:23:39Z</dcterms:created>
  <dcterms:modified xmlns:dcterms="http://purl.org/dc/terms/" xmlns:xsi="http://www.w3.org/2001/XMLSchema-instance" xsi:type="dcterms:W3CDTF">2026-03-30T18:53:24Z</dcterms:modified>
  <cp:lastModifiedBy>Nhat Thanh ung</cp:lastModifiedBy>
  <cp:revision>12</cp:revision>
</cp:coreProperties>
</file>